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76d79d0f341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43bf89ffde34721"/>
    <x:sheet xmlns:r="http://schemas.openxmlformats.org/officeDocument/2006/relationships" name="Backlog" sheetId="2" r:id="R26e9e1e45f1f4b79"/>
    <x:sheet xmlns:r="http://schemas.openxmlformats.org/officeDocument/2006/relationships" name="Roadmap" sheetId="3" r:id="R0407f5fc7a9943cd"/>
    <x:sheet xmlns:r="http://schemas.openxmlformats.org/officeDocument/2006/relationships" name="E2E" sheetId="4" r:id="Re2678f7fde45433c"/>
    <x:sheet xmlns:r="http://schemas.openxmlformats.org/officeDocument/2006/relationships" name="Risks" sheetId="5" r:id="Rc5109d2bb76743ef"/>
    <x:sheet xmlns:r="http://schemas.openxmlformats.org/officeDocument/2006/relationships" name="Comparison" sheetId="6" r:id="R07f37ca157764233"/>
    <x:sheet xmlns:r="http://schemas.openxmlformats.org/officeDocument/2006/relationships" name="Sources" sheetId="7" r:id="R6cb0002bb42443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name val="Carlito"/>
    </x:font>
    <x:font>
      <x:b/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F6B"/>
      </x:patternFill>
    </x:fill>
    <x:fill>
      <x:patternFill patternType="solid">
        <x:fgColor rgb="FFD9EAF5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left" wrapText="1"/>
    </x:xf>
    <x:xf numFmtId="0" fontId="5" fillId="7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0">
    <x:dxf>
      <x:font>
        <x:b/>
        <x:color rgb="FF9C0006"/>
      </x:font>
      <x:fill>
        <x:patternFill>
          <x:bgColor rgb="FFF4CCCC"/>
        </x:patternFill>
      </x:fill>
    </x:dxf>
    <x:dxf>
      <x:font>
        <x:b/>
      </x:font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</x:font>
      <x:fill>
        <x:patternFill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875e168c84bfa" /><Relationship Type="http://schemas.openxmlformats.org/officeDocument/2006/relationships/theme" Target="/xl/theme/theme1.xml" Id="R9d99af81e7a944a1" /><Relationship Type="http://schemas.openxmlformats.org/officeDocument/2006/relationships/sharedStrings" Target="/xl/sharedStrings.xml" Id="R3943e13333314619" /><Relationship Type="http://schemas.openxmlformats.org/officeDocument/2006/relationships/worksheet" Target="/xl/worksheets/sheet1.xml" Id="Rb43bf89ffde34721" /><Relationship Type="http://schemas.openxmlformats.org/officeDocument/2006/relationships/worksheet" Target="/xl/worksheets/sheet2.xml" Id="R26e9e1e45f1f4b79" /><Relationship Type="http://schemas.openxmlformats.org/officeDocument/2006/relationships/worksheet" Target="/xl/worksheets/sheet3.xml" Id="R0407f5fc7a9943cd" /><Relationship Type="http://schemas.openxmlformats.org/officeDocument/2006/relationships/worksheet" Target="/xl/worksheets/sheet4.xml" Id="Re2678f7fde45433c" /><Relationship Type="http://schemas.openxmlformats.org/officeDocument/2006/relationships/worksheet" Target="/xl/worksheets/sheet5.xml" Id="Rc5109d2bb76743ef" /><Relationship Type="http://schemas.openxmlformats.org/officeDocument/2006/relationships/worksheet" Target="/xl/worksheets/sheet6.xml" Id="R07f37ca157764233" /><Relationship Type="http://schemas.openxmlformats.org/officeDocument/2006/relationships/worksheet" Target="/xl/worksheets/sheet7.xml" Id="R6cb0002bb42443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13b336d6e34e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Обсяг backlog за релізами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К-сть задач</c:v>
          </c:tx>
          <c:cat>
            <c:strRef>
              <c:f>'Dashboard'!$A$14:$A$19</c:f>
              <c:strCache>
                <c:ptCount val="0"/>
              </c:strCache>
            </c:strRef>
          </c:cat>
          <c:val>
            <c:numRef>
              <c:f>'Dashboard'!$B$14:$B$19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Story points</c:v>
          </c:tx>
          <c:cat>
            <c:strRef>
              <c:f>'Dashboard'!$A$14:$A$19</c:f>
              <c:strCache>
                <c:ptCount val="0"/>
              </c:strCache>
            </c:strRef>
          </c:cat>
          <c:val>
            <c:numRef>
              <c:f>'Dashboard'!$C$14:$C$19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13b336d6e34eb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cklogTable" displayName="BacklogTable" ref="A1:Q80" headerRowCount="1" totalsRowCount="0" totalsRowShown="0">
  <x:tableColumns count="17">
    <x:tableColumn id="1" name="ID"/>
    <x:tableColumn id="2" name="Реліз"/>
    <x:tableColumn id="3" name="Пріоритет"/>
    <x:tableColumn id="4" name="Напрям"/>
    <x:tableColumn id="5" name="Задача"/>
    <x:tableColumn id="6" name="Модуль"/>
    <x:tableColumn id="7" name="Клас / компонент"/>
    <x:tableColumn id="8" name="Проблема / навіщо"/>
    <x:tableColumn id="9" name="Що змінити"/>
    <x:tableColumn id="10" name="Acceptance criteria"/>
    <x:tableColumn id="11" name="Тести"/>
    <x:tableColumn id="12" name="Складність"/>
    <x:tableColumn id="13" name="Story points"/>
    <x:tableColumn id="14" name="Роль-власник"/>
    <x:tableColumn id="15" name="Статус"/>
    <x:tableColumn id="16" name="Ризик"/>
    <x:tableColumn id="17" name="Джерело / залежніст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admapTable" displayName="RoadmapTable" ref="A1:E7" headerRowCount="1" totalsRowCount="0" totalsRowShown="0">
  <x:tableColumns count="5">
    <x:tableColumn id="1" name="Реліз"/>
    <x:tableColumn id="2" name="Тема"/>
    <x:tableColumn id="3" name="Ціль"/>
    <x:tableColumn id="4" name="Основний склад"/>
    <x:tableColumn id="5" name="Exit criteria / примітк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2ETable" displayName="E2ETable" ref="A1:F21" headerRowCount="1" totalsRowCount="0" totalsRowShown="0">
  <x:tableColumns count="6">
    <x:tableColumn id="1" name="ID"/>
    <x:tableColumn id="2" name="Реліз"/>
    <x:tableColumn id="3" name="Сценарій"/>
    <x:tableColumn id="4" name="Крок / умова"/>
    <x:tableColumn id="5" name="Очікуваний результат"/>
    <x:tableColumn id="6" name="Пріоритет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isksTable" displayName="RisksTable" ref="A1:H11" headerRowCount="1" totalsRowCount="0" totalsRowShown="0">
  <x:tableColumns count="8">
    <x:tableColumn id="1" name="ID"/>
    <x:tableColumn id="2" name="Ризик"/>
    <x:tableColumn id="3" name="Тип"/>
    <x:tableColumn id="4" name="Ймовірність"/>
    <x:tableColumn id="5" name="Вплив"/>
    <x:tableColumn id="6" name="Рівень"/>
    <x:tableColumn id="7" name="Мітигація"/>
    <x:tableColumn id="8" name="Пов’язані задачі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parisonTable" displayName="ComparisonTable" ref="A1:I12" headerRowCount="1" totalsRowCount="0" totalsRowShown="0">
  <x:tableColumns count="9">
    <x:tableColumn id="1" name="Функція"/>
    <x:tableColumn id="2" name="MyHomeLib зараз"/>
    <x:tableColumn id="3" name="calibre"/>
    <x:tableColumn id="4" name="Koodo"/>
    <x:tableColumn id="5" name="Thorium"/>
    <x:tableColumn id="6" name="Kavita / BookFusion"/>
    <x:tableColumn id="7" name="Пріоритет"/>
    <x:tableColumn id="8" name="Рекомендація"/>
    <x:tableColumn id="9" name="Офіційне джерело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1:D22" headerRowCount="1" totalsRowCount="0" totalsRowShown="0">
  <x:tableColumns count="4">
    <x:tableColumn id="1" name="Тип"/>
    <x:tableColumn id="2" name="Джерело"/>
    <x:tableColumn id="3" name="Що підтверджує"/>
    <x:tableColumn id="4" name="Шлях /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7747f5ffafb47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19e7b618fe49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976a5385f444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d631f265684c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592896e6fc45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c1ca51ff1e4d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980e5483b0484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3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17" t="str">
        <x:v>MyHomeLib Enterprise — технічний backlog</x:v>
      </x:c>
      <x:c r="B1" s="17"/>
      <x:c r="C1" s="17"/>
      <x:c r="D1" s="17"/>
      <x:c r="E1" s="17"/>
      <x:c r="F1" s="17"/>
      <x:c r="G1" s="17"/>
      <x:c r="H1" s="17"/>
    </x:row>
    <x:row r="2">
      <x:c r="A2" s="17"/>
      <x:c r="B2" s="17"/>
      <x:c r="C2" s="17"/>
      <x:c r="D2" s="17"/>
      <x:c r="E2" s="17"/>
      <x:c r="F2" s="17"/>
      <x:c r="G2" s="17"/>
      <x:c r="H2" s="17"/>
    </x:row>
    <x:row r="3">
      <x:c r="A3" s="22" t="str">
        <x:v>Версія аналізу: 7.1.0 RC3 · стан: 06.09.2026 · reconciliation Iteration 22 Windows host/session binding WIP</x:v>
      </x:c>
      <x:c r="B3" s="22"/>
      <x:c r="C3" s="22"/>
      <x:c r="D3" s="22"/>
      <x:c r="E3" s="22"/>
      <x:c r="F3" s="22"/>
      <x:c r="G3" s="22"/>
      <x:c r="H3" s="22"/>
    </x:row>
    <x:row r="5">
      <x:c r="A5" s="30" t="str">
        <x:v>KPI</x:v>
      </x:c>
      <x:c r="B5" s="30" t="str">
        <x:v>Значення</x:v>
      </x:c>
      <x:c r="D5" s="30" t="str">
        <x:v>Реліз</x:v>
      </x:c>
      <x:c r="E5" s="30" t="str">
        <x:v>P0</x:v>
      </x:c>
      <x:c r="F5" s="30" t="str">
        <x:v>P1</x:v>
      </x:c>
      <x:c r="G5" s="30" t="str">
        <x:v>P2</x:v>
      </x:c>
      <x:c r="H5" s="30" t="str">
        <x:v>P3</x:v>
      </x:c>
    </x:row>
    <x:row r="6">
      <x:c r="A6" s="37" t="str">
        <x:v>Усього задач</x:v>
      </x:c>
      <x:c r="B6" s="39" t="n">
        <x:f>COUNTA(Backlog!A2:A80)</x:f>
        <x:v>79</x:v>
      </x:c>
      <x:c r="D6" s="41" t="str">
        <x:v>7.1 Final</x:v>
      </x:c>
      <x:c r="E6" s="39" t="n">
        <x:f>COUNTIFS(Backlog!B:B,$D6,Backlog!C:C,E$5)</x:f>
        <x:v>12</x:v>
      </x:c>
      <x:c r="F6" s="39" t="n">
        <x:f>COUNTIFS(Backlog!B:B,$D6,Backlog!C:C,F$5)</x:f>
        <x:v>8</x:v>
      </x:c>
      <x:c r="G6" s="39" t="n">
        <x:f>COUNTIFS(Backlog!B:B,$D6,Backlog!C:C,G$5)</x:f>
        <x:v>2</x:v>
      </x:c>
      <x:c r="H6" s="39" t="n">
        <x:f>COUNTIFS(Backlog!B:B,$D6,Backlog!C:C,H$5)</x:f>
        <x:v>0</x:v>
      </x:c>
    </x:row>
    <x:row r="7">
      <x:c r="A7" s="37" t="str">
        <x:v>P0</x:v>
      </x:c>
      <x:c r="B7" s="39" t="n">
        <x:f>COUNTIF(Backlog!C2:C80,"P0")</x:f>
        <x:v>12</x:v>
      </x:c>
      <x:c r="D7" s="41" t="str">
        <x:v>7.2</x:v>
      </x:c>
      <x:c r="E7" s="39" t="n">
        <x:f>COUNTIFS(Backlog!B:B,$D7,Backlog!C:C,E$5)</x:f>
        <x:v>0</x:v>
      </x:c>
      <x:c r="F7" s="39" t="n">
        <x:f>COUNTIFS(Backlog!B:B,$D7,Backlog!C:C,F$5)</x:f>
        <x:v>10</x:v>
      </x:c>
      <x:c r="G7" s="39" t="n">
        <x:f>COUNTIFS(Backlog!B:B,$D7,Backlog!C:C,G$5)</x:f>
        <x:v>6</x:v>
      </x:c>
      <x:c r="H7" s="39" t="n">
        <x:f>COUNTIFS(Backlog!B:B,$D7,Backlog!C:C,H$5)</x:f>
        <x:v>1</x:v>
      </x:c>
    </x:row>
    <x:row r="8">
      <x:c r="A8" s="37" t="str">
        <x:v>P1</x:v>
      </x:c>
      <x:c r="B8" s="39" t="n">
        <x:f>COUNTIF(Backlog!C2:C80,"P1")</x:f>
        <x:v>33</x:v>
      </x:c>
      <x:c r="D8" s="41" t="str">
        <x:v>7.3</x:v>
      </x:c>
      <x:c r="E8" s="39" t="n">
        <x:f>COUNTIFS(Backlog!B:B,$D8,Backlog!C:C,E$5)</x:f>
        <x:v>0</x:v>
      </x:c>
      <x:c r="F8" s="39" t="n">
        <x:f>COUNTIFS(Backlog!B:B,$D8,Backlog!C:C,F$5)</x:f>
        <x:v>6</x:v>
      </x:c>
      <x:c r="G8" s="39" t="n">
        <x:f>COUNTIFS(Backlog!B:B,$D8,Backlog!C:C,G$5)</x:f>
        <x:v>5</x:v>
      </x:c>
      <x:c r="H8" s="39" t="n">
        <x:f>COUNTIFS(Backlog!B:B,$D8,Backlog!C:C,H$5)</x:f>
        <x:v>2</x:v>
      </x:c>
    </x:row>
    <x:row r="9">
      <x:c r="A9" s="37" t="str">
        <x:v>7.1 Final</x:v>
      </x:c>
      <x:c r="B9" s="39" t="n">
        <x:f>COUNTIF(Backlog!B2:B80,"7.1 Final")</x:f>
        <x:v>22</x:v>
      </x:c>
      <x:c r="D9" s="41" t="str">
        <x:v>7.4</x:v>
      </x:c>
      <x:c r="E9" s="39" t="n">
        <x:f>COUNTIFS(Backlog!B:B,$D9,Backlog!C:C,E$5)</x:f>
        <x:v>0</x:v>
      </x:c>
      <x:c r="F9" s="39" t="n">
        <x:f>COUNTIFS(Backlog!B:B,$D9,Backlog!C:C,F$5)</x:f>
        <x:v>4</x:v>
      </x:c>
      <x:c r="G9" s="39" t="n">
        <x:f>COUNTIFS(Backlog!B:B,$D9,Backlog!C:C,G$5)</x:f>
        <x:v>3</x:v>
      </x:c>
      <x:c r="H9" s="39" t="n">
        <x:f>COUNTIFS(Backlog!B:B,$D9,Backlog!C:C,H$5)</x:f>
        <x:v>0</x:v>
      </x:c>
    </x:row>
    <x:row r="10">
      <x:c r="A10" s="37" t="str">
        <x:v>Story points всього</x:v>
      </x:c>
      <x:c r="B10" s="39" t="n">
        <x:f>SUM(Backlog!M2:M80)</x:f>
        <x:v>621</x:v>
      </x:c>
      <x:c r="D10" s="41" t="str">
        <x:v>7.5</x:v>
      </x:c>
      <x:c r="E10" s="39" t="n">
        <x:f>COUNTIFS(Backlog!B:B,$D10,Backlog!C:C,E$5)</x:f>
        <x:v>0</x:v>
      </x:c>
      <x:c r="F10" s="39" t="n">
        <x:f>COUNTIFS(Backlog!B:B,$D10,Backlog!C:C,F$5)</x:f>
        <x:v>5</x:v>
      </x:c>
      <x:c r="G10" s="39" t="n">
        <x:f>COUNTIFS(Backlog!B:B,$D10,Backlog!C:C,G$5)</x:f>
        <x:v>5</x:v>
      </x:c>
      <x:c r="H10" s="39" t="n">
        <x:f>COUNTIFS(Backlog!B:B,$D10,Backlog!C:C,H$5)</x:f>
        <x:v>0</x:v>
      </x:c>
    </x:row>
    <x:row r="11">
      <x:c r="D11" s="41" t="str">
        <x:v>8.0</x:v>
      </x:c>
      <x:c r="E11" s="39" t="n">
        <x:f>COUNTIFS(Backlog!B:B,$D11,Backlog!C:C,E$5)</x:f>
        <x:v>0</x:v>
      </x:c>
      <x:c r="F11" s="39" t="n">
        <x:f>COUNTIFS(Backlog!B:B,$D11,Backlog!C:C,F$5)</x:f>
        <x:v>0</x:v>
      </x:c>
      <x:c r="G11" s="39" t="n">
        <x:f>COUNTIFS(Backlog!B:B,$D11,Backlog!C:C,G$5)</x:f>
        <x:v>2</x:v>
      </x:c>
      <x:c r="H11" s="39" t="n">
        <x:f>COUNTIFS(Backlog!B:B,$D11,Backlog!C:C,H$5)</x:f>
        <x:v>8</x:v>
      </x:c>
    </x:row>
    <x:row r="13">
      <x:c r="A13" s="30" t="str">
        <x:v>Реліз</x:v>
      </x:c>
      <x:c r="B13" s="30" t="str">
        <x:v>К-сть задач</x:v>
      </x:c>
      <x:c r="C13" s="30" t="str">
        <x:v>Story points</x:v>
      </x:c>
    </x:row>
    <x:row r="14">
      <x:c r="A14" s="39" t="str">
        <x:v>7.1 Final</x:v>
      </x:c>
      <x:c r="B14" s="39" t="n">
        <x:f>COUNTIF(Backlog!B:B,A14)</x:f>
        <x:v>22</x:v>
      </x:c>
      <x:c r="C14" s="39" t="n">
        <x:f>SUMIF(Backlog!B:B,A14,Backlog!M:M)</x:f>
        <x:v>143</x:v>
      </x:c>
    </x:row>
    <x:row r="15">
      <x:c r="A15" s="39" t="str">
        <x:v>7.2</x:v>
      </x:c>
      <x:c r="B15" s="39" t="n">
        <x:f>COUNTIF(Backlog!B:B,A15)</x:f>
        <x:v>17</x:v>
      </x:c>
      <x:c r="C15" s="39" t="n">
        <x:f>SUMIF(Backlog!B:B,A15,Backlog!M:M)</x:f>
        <x:v>144</x:v>
      </x:c>
    </x:row>
    <x:row r="16">
      <x:c r="A16" s="39" t="str">
        <x:v>7.3</x:v>
      </x:c>
      <x:c r="B16" s="39" t="n">
        <x:f>COUNTIF(Backlog!B:B,A16)</x:f>
        <x:v>13</x:v>
      </x:c>
      <x:c r="C16" s="39" t="n">
        <x:f>SUMIF(Backlog!B:B,A16,Backlog!M:M)</x:f>
        <x:v>102</x:v>
      </x:c>
    </x:row>
    <x:row r="17">
      <x:c r="A17" s="39" t="str">
        <x:v>7.4</x:v>
      </x:c>
      <x:c r="B17" s="39" t="n">
        <x:f>COUNTIF(Backlog!B:B,A17)</x:f>
        <x:v>7</x:v>
      </x:c>
      <x:c r="C17" s="39" t="n">
        <x:f>SUMIF(Backlog!B:B,A17,Backlog!M:M)</x:f>
        <x:v>49</x:v>
      </x:c>
    </x:row>
    <x:row r="18">
      <x:c r="A18" s="39" t="str">
        <x:v>7.5</x:v>
      </x:c>
      <x:c r="B18" s="39" t="n">
        <x:f>COUNTIF(Backlog!B:B,A18)</x:f>
        <x:v>10</x:v>
      </x:c>
      <x:c r="C18" s="39" t="n">
        <x:f>SUMIF(Backlog!B:B,A18,Backlog!M:M)</x:f>
        <x:v>97</x:v>
      </x:c>
    </x:row>
    <x:row r="19">
      <x:c r="A19" s="39" t="str">
        <x:v>8.0</x:v>
      </x:c>
      <x:c r="B19" s="39" t="n">
        <x:f>COUNTIF(Backlog!B:B,A19)</x:f>
        <x:v>10</x:v>
      </x:c>
      <x:c r="C19" s="39" t="n">
        <x:f>SUMIF(Backlog!B:B,A19,Backlog!M:M)</x:f>
        <x:v>86</x:v>
      </x:c>
    </x:row>
    <x:row r="22">
      <x:c r="A22" s="44" t="str">
        <x:v>Release gate для 7.1 Final</x:v>
      </x:c>
      <x:c r="B22" s="44"/>
      <x:c r="C22" s="44"/>
      <x:c r="D22" s="44"/>
      <x:c r="E22" s="44"/>
      <x:c r="F22" s="44"/>
      <x:c r="G22" s="44"/>
      <x:c r="H22" s="44"/>
    </x:row>
    <x:row r="23">
      <x:c r="A23" s="47" t="str">
        <x:v>1</x:v>
      </x:c>
      <x:c r="B23" s="47" t="str">
        <x:v>OPDS</x:v>
      </x:c>
      <x:c r="C23" s="12" t="str">
        <x:v>TLS для LAN + hash пароля + migration legacy plaintext</x:v>
      </x:c>
      <x:c r="D23" s="12" t="str"/>
      <x:c r="E23" s="12" t="str"/>
      <x:c r="F23" s="12" t="str"/>
      <x:c r="G23" s="12" t="str"/>
      <x:c r="H23" s="12" t="str"/>
    </x:row>
    <x:row r="24">
      <x:c r="A24" s="47" t="str">
        <x:v>2</x:v>
      </x:c>
      <x:c r="B24" s="47" t="str">
        <x:v>Formats</x:v>
      </x:c>
      <x:c r="C24" s="12" t="str">
        <x:v>Єдиний registry + UI + Lucene consistency</x:v>
      </x:c>
      <x:c r="D24" s="12" t="str"/>
      <x:c r="E24" s="12" t="str"/>
      <x:c r="F24" s="12" t="str"/>
      <x:c r="G24" s="12" t="str"/>
      <x:c r="H24" s="12" t="str"/>
    </x:row>
    <x:row r="25">
      <x:c r="A25" s="47" t="str">
        <x:v>3</x:v>
      </x:c>
      <x:c r="B25" s="47" t="str">
        <x:v>QA</x:v>
      </x:c>
      <x:c r="C25" s="12" t="str">
        <x:v>10+ E2E + Windows DPI 100/125/150/200</x:v>
      </x:c>
      <x:c r="D25" s="12" t="str"/>
      <x:c r="E25" s="12" t="str"/>
      <x:c r="F25" s="12" t="str"/>
      <x:c r="G25" s="12" t="str"/>
      <x:c r="H25" s="12" t="str"/>
    </x:row>
    <x:row r="26">
      <x:c r="A26" s="47" t="str">
        <x:v>4</x:v>
      </x:c>
      <x:c r="B26" s="47" t="str">
        <x:v>CI/CD</x:v>
      </x:c>
      <x:c r="C26" s="12" t="str">
        <x:v>PR CI + dependency/security gates</x:v>
      </x:c>
      <x:c r="D26" s="12" t="str"/>
      <x:c r="E26" s="12" t="str"/>
      <x:c r="F26" s="12" t="str"/>
      <x:c r="G26" s="12" t="str"/>
      <x:c r="H26" s="12" t="str"/>
    </x:row>
    <x:row r="27">
      <x:c r="A27" s="47" t="str">
        <x:v>5</x:v>
      </x:c>
      <x:c r="B27" s="47" t="str">
        <x:v>Packaging</x:v>
      </x:c>
      <x:c r="C27" s="12" t="str">
        <x:v>Installer/portable smoke + reproducible source package</x:v>
      </x:c>
      <x:c r="D27" s="12" t="str"/>
      <x:c r="E27" s="12" t="str"/>
      <x:c r="F27" s="12" t="str"/>
      <x:c r="G27" s="12" t="str"/>
      <x:c r="H27" s="12" t="str"/>
    </x:row>
    <x:row r="28">
      <x:c r="A28" s="47" t="str">
        <x:v>6</x:v>
      </x:c>
      <x:c r="B28" s="47" t="str">
        <x:v>Decision</x:v>
      </x:c>
      <x:c r="C28" s="12" t="str">
        <x:v>Final тільки після закриття всіх P0</x:v>
      </x:c>
      <x:c r="D28" s="12" t="str"/>
      <x:c r="E28" s="12" t="str"/>
      <x:c r="F28" s="12" t="str"/>
      <x:c r="G28" s="12" t="str"/>
      <x:c r="H28" s="12" t="str"/>
    </x:row>
    <x:row r="30" ht="28" hidden="0" customHeight="1">
      <x:c r="A30" s="55" t="str">
        <x:v>7.1 Final — фактичний статус після Iteration 17 GitHub acceptance WIP</x:v>
      </x:c>
      <x:c r="B30" s="55"/>
      <x:c r="C30" s="55"/>
      <x:c r="D30" s="55"/>
    </x:row>
    <x:row r="31" ht="24" hidden="0" customHeight="1">
      <x:c r="A31" s="59" t="str">
        <x:v>Статус</x:v>
      </x:c>
      <x:c r="B31" s="59" t="str">
        <x:v>К-сть задач</x:v>
      </x:c>
      <x:c r="C31" s="59" t="str">
        <x:v>Story points</x:v>
      </x:c>
      <x:c r="D31" s="59" t="str">
        <x:v>Примітка</x:v>
      </x:c>
    </x:row>
    <x:row r="32" ht="32" hidden="0" customHeight="1">
      <x:c r="A32" s="12" t="str">
        <x:v>Виконано</x:v>
      </x:c>
      <x:c r="B32" s="12" t="n">
        <x:f>COUNTIFS(Backlog!$B$2:$B$80,"7.1 Final",Backlog!$O$2:$O$80,A32)</x:f>
        <x:v>16</x:v>
      </x:c>
      <x:c r="C32" s="12" t="n">
        <x:f>SUMIFS(Backlog!$M$2:$M$80,Backlog!$B$2:$B$80,"7.1 Final",Backlog!$O$2:$O$80,A32)</x:f>
        <x:v>113</x:v>
      </x:c>
      <x:c r="D32" s="12" t="str">
        <x:v>Локально підтверджено кодом/тестами</x:v>
      </x:c>
    </x:row>
    <x:row r="33" ht="32" hidden="0" customHeight="1">
      <x:c r="A33" s="12" t="str">
        <x:v>Очікує GitHub-перевірки</x:v>
      </x:c>
      <x:c r="B33" s="12" t="n">
        <x:f>COUNTIFS(Backlog!$B$2:$B$80,"7.1 Final",Backlog!$O$2:$O$80,A33)</x:f>
        <x:v>4</x:v>
      </x:c>
      <x:c r="C33" s="12" t="n">
        <x:f>SUMIFS(Backlog!$M$2:$M$80,Backlog!$B$2:$B$80,"7.1 Final",Backlog!$O$2:$O$80,A33)</x:f>
        <x:v>14</x:v>
      </x:c>
      <x:c r="D33" s="12" t="str">
        <x:v>Connected harness + final gate готові; потрібен live workflow_dispatch</x:v>
      </x:c>
    </x:row>
    <x:row r="34" ht="32" hidden="0" customHeight="1">
      <x:c r="A34" s="12" t="str">
        <x:v>Очікує Windows-перевірки</x:v>
      </x:c>
      <x:c r="B34" s="12" t="n">
        <x:f>COUNTIFS(Backlog!$B$2:$B$80,"7.1 Final",Backlog!$O$2:$O$80,A34)</x:f>
        <x:v>2</x:v>
      </x:c>
      <x:c r="C34" s="12" t="n">
        <x:f>SUMIFS(Backlog!$M$2:$M$80,Backlog!$B$2:$B$80,"7.1 Final",Backlog!$O$2:$O$80,A34)</x:f>
        <x:v>16</x:v>
      </x:c>
      <x:c r="D34" s="12" t="str">
        <x:v>MHL-011 / MHL-012</x:v>
      </x:c>
    </x:row>
    <x:row r="35" ht="24" hidden="0" customHeight="1">
      <x:c r="A35" s="12" t="str">
        <x:v>Разом 7.1 Final</x:v>
      </x:c>
      <x:c r="B35" s="12" t="n">
        <x:f>COUNTIF(Backlog!$B$2:$B$80,"7.1 Final")</x:f>
        <x:v>22</x:v>
      </x:c>
      <x:c r="C35" s="12" t="n">
        <x:f>SUMIF(Backlog!$B$2:$B$80,"7.1 Final",Backlog!$M$2:$M$80)</x:f>
        <x:v>143</x:v>
      </x:c>
      <x:c r="D35" s="12" t="str">
        <x:v>Контрольна сума backlog</x:v>
      </x:c>
    </x:row>
  </x:sheetData>
  <x:mergeCells>
    <x:mergeCell ref="A1:H2"/>
    <x:mergeCell ref="A3:H3"/>
    <x:mergeCell ref="A22:H22"/>
    <x:mergeCell ref="A30:D30"/>
  </x:mergeCells>
  <x:pageMargins left="0.7" right="0.7" top="0.75" bottom="0.75" header="0.3" footer="0.3"/>
  <x:drawing xmlns:r="http://schemas.openxmlformats.org/officeDocument/2006/relationships" r:id="Rd7747f5ffafb47e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0" hidden="0" customWidth="1"/>
    <x:col min="4" max="4" width="20" hidden="0" customWidth="1"/>
    <x:col min="5" max="5" width="38" hidden="0" customWidth="1"/>
    <x:col min="6" max="6" width="26" hidden="0" customWidth="1"/>
    <x:col min="7" max="7" width="34" hidden="0" customWidth="1"/>
    <x:col min="8" max="8" width="42" hidden="0" customWidth="1"/>
    <x:col min="9" max="9" width="45" hidden="0" customWidth="1"/>
    <x:col min="10" max="10" width="52" hidden="0" customWidth="1"/>
    <x:col min="11" max="11" width="28" hidden="0" customWidth="1"/>
    <x:col min="12" max="12" width="11" hidden="0" customWidth="1"/>
    <x:col min="13" max="13" width="12" hidden="0" customWidth="1"/>
    <x:col min="14" max="14" width="18" hidden="0" customWidth="1"/>
    <x:col min="15" max="15" width="25" hidden="0" customWidth="1"/>
    <x:col min="16" max="16" width="16" hidden="0" customWidth="1"/>
    <x:col min="17" max="17" width="46" hidden="0" customWidth="1"/>
  </x:cols>
  <x:sheetData>
    <x:row r="1" ht="34" customHeight="1">
      <x:c r="A1" s="6" t="str">
        <x:v>ID</x:v>
      </x:c>
      <x:c r="B1" s="6" t="str">
        <x:v>Реліз</x:v>
      </x:c>
      <x:c r="C1" s="6" t="str">
        <x:v>Пріоритет</x:v>
      </x:c>
      <x:c r="D1" s="6" t="str">
        <x:v>Напрям</x:v>
      </x:c>
      <x:c r="E1" s="6" t="str">
        <x:v>Задача</x:v>
      </x:c>
      <x:c r="F1" s="6" t="str">
        <x:v>Модуль</x:v>
      </x:c>
      <x:c r="G1" s="6" t="str">
        <x:v>Клас / компонент</x:v>
      </x:c>
      <x:c r="H1" s="6" t="str">
        <x:v>Проблема / навіщо</x:v>
      </x:c>
      <x:c r="I1" s="6" t="str">
        <x:v>Що змінити</x:v>
      </x:c>
      <x:c r="J1" s="6" t="str">
        <x:v>Acceptance criteria</x:v>
      </x:c>
      <x:c r="K1" s="6" t="str">
        <x:v>Тести</x:v>
      </x:c>
      <x:c r="L1" s="6" t="str">
        <x:v>Складність</x:v>
      </x:c>
      <x:c r="M1" s="6" t="str">
        <x:v>Story points</x:v>
      </x:c>
      <x:c r="N1" s="6" t="str">
        <x:v>Роль-власник</x:v>
      </x:c>
      <x:c r="O1" s="6" t="str">
        <x:v>Статус</x:v>
      </x:c>
      <x:c r="P1" s="6" t="str">
        <x:v>Ризик</x:v>
      </x:c>
      <x:c r="Q1" s="6" t="str">
        <x:v>Джерело / залежність</x:v>
      </x:c>
    </x:row>
    <x:row r="2" ht="44" customHeight="1">
      <x:c r="A2" s="14" t="str">
        <x:v>MHL-001</x:v>
      </x:c>
      <x:c r="B2" s="14" t="str">
        <x:v>7.1 Final</x:v>
      </x:c>
      <x:c r="C2" s="14" t="str">
        <x:v>P0</x:v>
      </x:c>
      <x:c r="D2" s="14" t="str">
        <x:v>Security / OPDS</x:v>
      </x:c>
      <x:c r="E2" s="14" t="str">
        <x:v>Увімкнути TLS для OPDS при доступі з LAN</x:v>
      </x:c>
      <x:c r="F2" s="14" t="str">
        <x:v>myhomelib-opds</x:v>
      </x:c>
      <x:c r="G2" s="14" t="str">
        <x:v>JdkOpdsServer</x:v>
      </x:c>
      <x:c r="H2" s="14" t="str">
        <x:v>Поточний OPDS використовує HTTP. Для non-loopback доступу Basic Auth без TLS створює ризик перехоплення облікових даних.</x:v>
      </x:c>
      <x:c r="I2" s="14" t="str">
        <x:v>Додати HTTPS/TLS transport; localhost може залишатися HTTP. Заборонити небезпечний LAN-режим без TLS.</x:v>
      </x:c>
      <x:c r="J2" s="14" t="str">
        <x:v>1) 127.0.0.1 може стартувати без TLS; 2) non-loopback не стартує без TLS або автоматично використовує HTTPS; 3) URL у UI правильний; 4) інтеграційний тест перевіряє HTTPS.</x:v>
      </x:c>
      <x:c r="K2" s="14" t="str">
        <x:v>Integration + security test</x:v>
      </x:c>
      <x:c r="L2" s="14" t="str">
        <x:v>XL</x:v>
      </x:c>
      <x:c r="M2" s="14" t="n">
        <x:v>13</x:v>
      </x:c>
      <x:c r="N2" s="14" t="str">
        <x:v>Backend/Security</x:v>
      </x:c>
      <x:c r="O2" s="14" t="str">
        <x:v>Виконано</x:v>
      </x:c>
      <x:c r="P2" s="14" t="str">
        <x:v>Release blocker</x:v>
      </x:c>
      <x:c r="Q2" s="14" t="str">
        <x:v>RFC 7617; myhomelib-opds/src/main/java/com/myhomelibcorp/opds/JdkOpdsServer.java | Evidence: ITERATION-05-OPDS-TRANSPORT-GUARDS.md — DONE; HTTPS/LAN guards і security tests PASS.</x:v>
      </x:c>
      <x:c r="R2" s="49"/>
      <x:c r="S2" s="49"/>
      <x:c r="T2" s="49"/>
      <x:c r="U2" s="49"/>
      <x:c r="V2" s="49"/>
      <x:c r="W2" s="49"/>
      <x:c r="X2" s="49"/>
      <x:c r="Y2" s="49"/>
      <x:c r="Z2" s="49"/>
    </x:row>
    <x:row r="3" ht="44" customHeight="1">
      <x:c r="A3" s="14" t="str">
        <x:v>MHL-002</x:v>
      </x:c>
      <x:c r="B3" s="14" t="str">
        <x:v>7.1 Final</x:v>
      </x:c>
      <x:c r="C3" s="14" t="str">
        <x:v>P0</x:v>
      </x:c>
      <x:c r="D3" s="14" t="str">
        <x:v>Security / OPDS</x:v>
      </x:c>
      <x:c r="E3" s="14" t="str">
        <x:v>Прибрати plaintext-пароль OPDS</x:v>
      </x:c>
      <x:c r="F3" s="14" t="str">
        <x:v>myhomelib-application; myhomelib-infrastructure</x:v>
      </x:c>
      <x:c r="G3" s="14" t="str">
        <x:v>OpdsSettingsService; PropertiesApplicationSettingsService</x:v>
      </x:c>
      <x:c r="H3" s="14" t="str">
        <x:v>Пароль OPDS зберігається у properties у відкритому вигляді.</x:v>
      </x:c>
      <x:c r="I3" s="14" t="str">
        <x:v>Зберігати password hash (Argon2id; PBKDF2 як fallback). Додати salt і перевірку пароля без можливості відновлення.</x:v>
      </x:c>
      <x:c r="J3" s="14" t="str">
        <x:v>1) Новий пароль не з’являється у plaintext у файлах; 2) login працює; 3) неправильний пароль відхиляється; 4) hash має унікальний salt.</x:v>
      </x:c>
      <x:c r="K3" s="14" t="str">
        <x:v>Unit + integration + negative security tests</x:v>
      </x:c>
      <x:c r="L3" s="14" t="str">
        <x:v>L</x:v>
      </x:c>
      <x:c r="M3" s="14" t="n">
        <x:v>8</x:v>
      </x:c>
      <x:c r="N3" s="14" t="str">
        <x:v>Backend/Security</x:v>
      </x:c>
      <x:c r="O3" s="14" t="str">
        <x:v>Виконано</x:v>
      </x:c>
      <x:c r="P3" s="14" t="str">
        <x:v>Release blocker</x:v>
      </x:c>
      <x:c r="Q3" s="14" t="str">
        <x:v>OWASP Password Storage; OpdsSettingsService | Evidence: ITERATION-01-SECURITY-SETTINGS.md — PBKDF2 hash + salt; tests PASS.</x:v>
      </x:c>
      <x:c r="R3" s="49"/>
      <x:c r="S3" s="49"/>
      <x:c r="T3" s="49"/>
      <x:c r="U3" s="49"/>
      <x:c r="V3" s="49"/>
      <x:c r="W3" s="49"/>
      <x:c r="X3" s="49"/>
      <x:c r="Y3" s="49"/>
      <x:c r="Z3" s="49"/>
    </x:row>
    <x:row r="4" ht="44" customHeight="1">
      <x:c r="A4" s="14" t="str">
        <x:v>MHL-003</x:v>
      </x:c>
      <x:c r="B4" s="14" t="str">
        <x:v>7.1 Final</x:v>
      </x:c>
      <x:c r="C4" s="14" t="str">
        <x:v>P0</x:v>
      </x:c>
      <x:c r="D4" s="14" t="str">
        <x:v>Security / Migration</x:v>
      </x:c>
      <x:c r="E4" s="14" t="str">
        <x:v>Міграція існуючого plaintext OPDS-пароля</x:v>
      </x:c>
      <x:c r="F4" s="14" t="str">
        <x:v>myhomelib-application; myhomelib-infrastructure</x:v>
      </x:c>
      <x:c r="G4" s="14" t="str">
        <x:v>OpdsSettingsService; settings migration</x:v>
      </x:c>
      <x:c r="H4" s="14" t="str">
        <x:v>Після переходу на hash старі профілі можуть залишитися з plaintext-паролем.</x:v>
      </x:c>
      <x:c r="I4" s="14" t="str">
        <x:v>На першому старті визначати legacy plaintext, хешувати його та атомарно видаляти старе значення.</x:v>
      </x:c>
      <x:c r="J4" s="14" t="str">
        <x:v>1) Старий профіль автоматично мігрує; 2) повторний старт ідемпотентний; 3) plaintext після міграції відсутній; 4) rollback не пошкоджує settings.</x:v>
      </x:c>
      <x:c r="K4" s="14" t="str">
        <x:v>Migration regression test</x:v>
      </x:c>
      <x:c r="L4" s="14" t="str">
        <x:v>M</x:v>
      </x:c>
      <x:c r="M4" s="14" t="n">
        <x:v>5</x:v>
      </x:c>
      <x:c r="N4" s="14" t="str">
        <x:v>Backend/Security</x:v>
      </x:c>
      <x:c r="O4" s="14" t="str">
        <x:v>Виконано</x:v>
      </x:c>
      <x:c r="P4" s="14" t="str">
        <x:v>Release blocker</x:v>
      </x:c>
      <x:c r="Q4" s="14" t="str">
        <x:v>OpdsSettingsService | Evidence: ITERATION-01-SECURITY-SETTINGS.md — legacy plaintext migration; regression tests PASS.</x:v>
      </x:c>
      <x:c r="R4" s="49"/>
      <x:c r="S4" s="49"/>
      <x:c r="T4" s="49"/>
      <x:c r="U4" s="49"/>
      <x:c r="V4" s="49"/>
      <x:c r="W4" s="49"/>
      <x:c r="X4" s="49"/>
      <x:c r="Y4" s="49"/>
      <x:c r="Z4" s="49"/>
    </x:row>
    <x:row r="5" ht="44" customHeight="1">
      <x:c r="A5" s="14" t="str">
        <x:v>MHL-004</x:v>
      </x:c>
      <x:c r="B5" s="14" t="str">
        <x:v>7.1 Final</x:v>
      </x:c>
      <x:c r="C5" s="14" t="str">
        <x:v>P0</x:v>
      </x:c>
      <x:c r="D5" s="14" t="str">
        <x:v>Settings</x:v>
      </x:c>
      <x:c r="E5" s="14" t="str">
        <x:v>Зробити збереження OPDS settings атомарним</x:v>
      </x:c>
      <x:c r="F5" s="14" t="str">
        <x:v>myhomelib-application; myhomelib-infrastructure</x:v>
      </x:c>
      <x:c r="G5" s="14" t="str">
        <x:v>OpdsSettingsService; PropertiesApplicationSettingsService</x:v>
      </x:c>
      <x:c r="H5" s="14" t="str">
        <x:v>Кілька послідовних put/flush можуть залишити частково оновлену конфігурацію при I/O failure.</x:v>
      </x:c>
      <x:c r="I5" s="14" t="str">
        <x:v>Зберігати весь блок opds.* одним atomic replace/transaction із rollback.</x:v>
      </x:c>
      <x:c r="J5" s="14" t="str">
        <x:v>1) Успішне збереження оновлює всі ключі; 2) штучна помилка посеред запису залишає стару конфігурацію; 3) є regression test.</x:v>
      </x:c>
      <x:c r="K5" s="14" t="str">
        <x:v>Unit fault-injection test</x:v>
      </x:c>
      <x:c r="L5" s="14" t="str">
        <x:v>M</x:v>
      </x:c>
      <x:c r="M5" s="14" t="n">
        <x:v>5</x:v>
      </x:c>
      <x:c r="N5" s="14" t="str">
        <x:v>Backend</x:v>
      </x:c>
      <x:c r="O5" s="14" t="str">
        <x:v>Виконано</x:v>
      </x:c>
      <x:c r="P5" s="14" t="str">
        <x:v>High</x:v>
      </x:c>
      <x:c r="Q5" s="14" t="str">
        <x:v>OpdsSettingsService; PropertiesApplicationSettingsService | Evidence: ITERATION-01-SECURITY-SETTINGS.md — atomic opds.* replace; fault tests PASS.</x:v>
      </x:c>
      <x:c r="R5" s="49"/>
      <x:c r="S5" s="49"/>
      <x:c r="T5" s="49"/>
      <x:c r="U5" s="49"/>
      <x:c r="V5" s="49"/>
      <x:c r="W5" s="49"/>
      <x:c r="X5" s="49"/>
      <x:c r="Y5" s="49"/>
      <x:c r="Z5" s="49"/>
    </x:row>
    <x:row r="6" ht="44" customHeight="1">
      <x:c r="A6" s="14" t="str">
        <x:v>MHL-005</x:v>
      </x:c>
      <x:c r="B6" s="14" t="str">
        <x:v>7.1 Final</x:v>
      </x:c>
      <x:c r="C6" s="14" t="str">
        <x:v>P0</x:v>
      </x:c>
      <x:c r="D6" s="14" t="str">
        <x:v>Formats</x:v>
      </x:c>
      <x:c r="E6" s="14" t="str">
        <x:v>Створити єдиний SupportedFormatRegistry</x:v>
      </x:c>
      <x:c r="F6" s="14" t="str">
        <x:v>myhomelib-application; myhomelib-infrastructure; myhomelib-ui</x:v>
      </x:c>
      <x:c r="G6" s="14" t="str">
        <x:v>Новий FormatRegistry + існуючі importer/detector/UI classes</x:v>
      </x:c>
      <x:c r="H6" s="14" t="str">
        <x:v>Списки підтримуваних форматів дублюються і розходяться між importer, FileChooser, Reader, Lucene та фільтрами.</x:v>
      </x:c>
      <x:c r="I6" s="14" t="str">
        <x:v>Створити єдину декларативну модель формату: extensions, MIME, import, metadata, reader, cover, full-text, displayName.</x:v>
      </x:c>
      <x:c r="J6" s="14" t="str">
        <x:v>1) Усі основні шари читають формати з одного registry; 2) немає дубльованих hard-coded extension lists у критичних шляхах; 3) consistency test падає при розсинхронізації.</x:v>
      </x:c>
      <x:c r="K6" s="14" t="str">
        <x:v>Unit + architecture consistency test</x:v>
      </x:c>
      <x:c r="L6" s="14" t="str">
        <x:v>L</x:v>
      </x:c>
      <x:c r="M6" s="14" t="n">
        <x:v>8</x:v>
      </x:c>
      <x:c r="N6" s="14" t="str">
        <x:v>Architecture</x:v>
      </x:c>
      <x:c r="O6" s="14" t="str">
        <x:v>Виконано</x:v>
      </x:c>
      <x:c r="P6" s="14" t="str">
        <x:v>Release blocker</x:v>
      </x:c>
      <x:c r="Q6" s="14" t="str">
        <x:v>GenericDocumentImporter; BookFormatDetector; UI FileChoosers; LuceneDocumentMapper | Evidence: ITERATION-02-FORMATS-PATHS.md — SupportedFormatRegistry implemented; tests PASS.</x:v>
      </x:c>
      <x:c r="R6" s="49"/>
      <x:c r="S6" s="49"/>
      <x:c r="T6" s="49"/>
      <x:c r="U6" s="49"/>
      <x:c r="V6" s="49"/>
      <x:c r="W6" s="49"/>
      <x:c r="X6" s="49"/>
      <x:c r="Y6" s="49"/>
      <x:c r="Z6" s="49"/>
    </x:row>
    <x:row r="7" ht="44" customHeight="1">
      <x:c r="A7" s="14" t="str">
        <x:v>MHL-006</x:v>
      </x:c>
      <x:c r="B7" s="14" t="str">
        <x:v>7.1 Final</x:v>
      </x:c>
      <x:c r="C7" s="14" t="str">
        <x:v>P0</x:v>
      </x:c>
      <x:c r="D7" s="14" t="str">
        <x:v>Formats / UI</x:v>
      </x:c>
      <x:c r="E7" s="14" t="str">
        <x:v>Підключити всі FileChooser до FormatRegistry</x:v>
      </x:c>
      <x:c r="F7" s="14" t="str">
        <x:v>myhomelib-ui</x:v>
      </x:c>
      <x:c r="G7" s="14" t="str">
        <x:v>BookImportPresenter; ImportWorkspaceController; CollectionWizardController</x:v>
      </x:c>
      <x:c r="H7" s="14" t="str">
        <x:v>UI не показує частину форматів, які бекенд уже вміє імпортувати (PDF/DjVu/MOBI/AZW/DOCX/RTF/HTML/CHM тощо).</x:v>
      </x:c>
      <x:c r="I7" s="14" t="str">
        <x:v>Генерувати extension filters із SupportedFormatRegistry та уніфікувати всі діалоги вибору файлів.</x:v>
      </x:c>
      <x:c r="J7" s="14" t="str">
        <x:v>1) Кожен importSupported формат доступний у FileChooser; 2) список 'Усі підтримувані' повний; 3) UI test перевіряє matrix форматів.</x:v>
      </x:c>
      <x:c r="K7" s="14" t="str">
        <x:v>UI unit/integration test</x:v>
      </x:c>
      <x:c r="L7" s="14" t="str">
        <x:v>M</x:v>
      </x:c>
      <x:c r="M7" s="14" t="n">
        <x:v>5</x:v>
      </x:c>
      <x:c r="N7" s="14" t="str">
        <x:v>Frontend</x:v>
      </x:c>
      <x:c r="O7" s="14" t="str">
        <x:v>Виконано</x:v>
      </x:c>
      <x:c r="P7" s="14" t="str">
        <x:v>Release blocker</x:v>
      </x:c>
      <x:c r="Q7" s="14" t="str">
        <x:v>BookImportPresenter; ImportWorkspaceController; CollectionWizardController | Evidence: ITERATION-02-FORMATS-PATHS.md — FileChooser consistency implemented; UI tests PASS.</x:v>
      </x:c>
      <x:c r="R7" s="49"/>
      <x:c r="S7" s="49"/>
      <x:c r="T7" s="49"/>
      <x:c r="U7" s="49"/>
      <x:c r="V7" s="49"/>
      <x:c r="W7" s="49"/>
      <x:c r="X7" s="49"/>
      <x:c r="Y7" s="49"/>
      <x:c r="Z7" s="49"/>
    </x:row>
    <x:row r="8" ht="44" customHeight="1">
      <x:c r="A8" s="14" t="str">
        <x:v>MHL-007</x:v>
      </x:c>
      <x:c r="B8" s="14" t="str">
        <x:v>7.1 Final</x:v>
      </x:c>
      <x:c r="C8" s="14" t="str">
        <x:v>P0</x:v>
      </x:c>
      <x:c r="D8" s="14" t="str">
        <x:v>Search / Formats</x:v>
      </x:c>
      <x:c r="E8" s="14" t="str">
        <x:v>Узгодити BookFormat enum і Lucene mapping</x:v>
      </x:c>
      <x:c r="F8" s="14" t="str">
        <x:v>myhomelib-application; myhomelib-infrastructure</x:v>
      </x:c>
      <x:c r="G8" s="14" t="str">
        <x:v>application.query.book.BookFormat; BookFormatDetector; LuceneDocumentMapper</x:v>
      </x:c>
      <x:c r="H8" s="14" t="str">
        <x:v>Частина форматів розпізнається importer/detector, але в Lucene потрапляє як unknown або не має enum-значення.</x:v>
      </x:c>
      <x:c r="I8" s="14" t="str">
        <x:v>Розширити canonical BookFormat і mapping; unknown залишити тільки для реально невідомих типів.</x:v>
      </x:c>
      <x:c r="J8" s="14" t="str">
        <x:v>1) Для кожного format registry entry є очікуваний search-format; 2) DOCX/TXT/HTML/PDF/MOBI/AZW3/DJVU індексуються коректно; 3) filter-by-format працює.</x:v>
      </x:c>
      <x:c r="K8" s="14" t="str">
        <x:v>Unit + search integration test</x:v>
      </x:c>
      <x:c r="L8" s="14" t="str">
        <x:v>M</x:v>
      </x:c>
      <x:c r="M8" s="14" t="n">
        <x:v>5</x:v>
      </x:c>
      <x:c r="N8" s="14" t="str">
        <x:v>Search</x:v>
      </x:c>
      <x:c r="O8" s="14" t="str">
        <x:v>Виконано</x:v>
      </x:c>
      <x:c r="P8" s="14" t="str">
        <x:v>Release blocker</x:v>
      </x:c>
      <x:c r="Q8" s="14" t="str">
        <x:v>BookFormatDetector; LuceneDocumentMapper; application/query/book/BookFormat.java | Evidence: ITERATION-02-FORMATS-PATHS.md — canonical format/Lucene mapping aligned; tests PASS.</x:v>
      </x:c>
      <x:c r="R8" s="49"/>
      <x:c r="S8" s="49"/>
      <x:c r="T8" s="49"/>
      <x:c r="U8" s="49"/>
      <x:c r="V8" s="49"/>
      <x:c r="W8" s="49"/>
      <x:c r="X8" s="49"/>
      <x:c r="Y8" s="49"/>
      <x:c r="Z8" s="49"/>
    </x:row>
    <x:row r="9" ht="44" customHeight="1">
      <x:c r="A9" s="14" t="str">
        <x:v>MHL-008</x:v>
      </x:c>
      <x:c r="B9" s="14" t="str">
        <x:v>7.1 Final</x:v>
      </x:c>
      <x:c r="C9" s="14" t="str">
        <x:v>P0</x:v>
      </x:c>
      <x:c r="D9" s="14" t="str">
        <x:v>Domain</x:v>
      </x:c>
      <x:c r="E9" s="14" t="str">
        <x:v>Виправити семантику BookFile.getFullPath()</x:v>
      </x:c>
      <x:c r="F9" s="14" t="str">
        <x:v>myhomelib-domain</x:v>
      </x:c>
      <x:c r="G9" s="14" t="str">
        <x:v>BookFile</x:v>
      </x:c>
      <x:c r="H9" s="14" t="str">
        <x:v>Метод із назвою getFullPath() у частині сценаріїв повертає directory path без fileName.</x:v>
      </x:c>
      <x:c r="I9" s="14" t="str">
        <x:v>Повернути справжній повний шлях або перейменувати метод, якщо потрібна семантика каталогу; оновити виклики.</x:v>
      </x:c>
      <x:c r="J9" s="14" t="str">
        <x:v>Тести: no folder, relative, absolute, collection root, Unicode, Windows drive, UNC; жоден сценарій не губить fileName.</x:v>
      </x:c>
      <x:c r="K9" s="14" t="str">
        <x:v>Unit regression test</x:v>
      </x:c>
      <x:c r="L9" s="14" t="str">
        <x:v>S</x:v>
      </x:c>
      <x:c r="M9" s="14" t="n">
        <x:v>2</x:v>
      </x:c>
      <x:c r="N9" s="14" t="str">
        <x:v>Backend</x:v>
      </x:c>
      <x:c r="O9" s="14" t="str">
        <x:v>Виконано</x:v>
      </x:c>
      <x:c r="P9" s="14" t="str">
        <x:v>High</x:v>
      </x:c>
      <x:c r="Q9" s="14" t="str">
        <x:v>myhomelib-domain/src/main/java/com/myhomelibcorp/domain/model/valueobject/BookFile.java | Evidence: ITERATION-02-FORMATS-PATHS.md — BookFile.getFullPath semantics fixed; regression tests PASS.</x:v>
      </x:c>
      <x:c r="R9" s="49"/>
      <x:c r="S9" s="49"/>
      <x:c r="T9" s="49"/>
      <x:c r="U9" s="49"/>
      <x:c r="V9" s="49"/>
      <x:c r="W9" s="49"/>
      <x:c r="X9" s="49"/>
      <x:c r="Y9" s="49"/>
      <x:c r="Z9" s="49"/>
    </x:row>
    <x:row r="10" ht="44" customHeight="1">
      <x:c r="A10" s="14" t="str">
        <x:v>MHL-009</x:v>
      </x:c>
      <x:c r="B10" s="14" t="str">
        <x:v>7.1 Final</x:v>
      </x:c>
      <x:c r="C10" s="14" t="str">
        <x:v>P0</x:v>
      </x:c>
      <x:c r="D10" s="14" t="str">
        <x:v>QA / E2E</x:v>
      </x:c>
      <x:c r="E10" s="14" t="str">
        <x:v>Наповнити myhomelib-e2e-tests реальними тестами</x:v>
      </x:c>
      <x:c r="F10" s="14" t="str">
        <x:v>myhomelib-e2e-tests</x:v>
      </x:c>
      <x:c r="G10" s="14" t="str">
        <x:v>Нові E2E suites</x:v>
      </x:c>
      <x:c r="H10" s="14" t="str">
        <x:v>Модуль існує, але фактично містить лише pom.xml.</x:v>
      </x:c>
      <x:c r="I10" s="14" t="str">
        <x:v>Додати smoke E2E для критичних user journeys: collection, import, search, Reader, rollback, backup/restore, OPDS.</x:v>
      </x:c>
      <x:c r="J10" s="14" t="str">
        <x:v>Мінімум 10 стабільних E2E сценаріїв; запускаються з CI; failures мають артефакти/logs.</x:v>
      </x:c>
      <x:c r="K10" s="14" t="str">
        <x:v>E2E</x:v>
      </x:c>
      <x:c r="L10" s="14" t="str">
        <x:v>XL</x:v>
      </x:c>
      <x:c r="M10" s="14" t="n">
        <x:v>13</x:v>
      </x:c>
      <x:c r="N10" s="14" t="str">
        <x:v>QA</x:v>
      </x:c>
      <x:c r="O10" s="14" t="str">
        <x:v>Виконано</x:v>
      </x:c>
      <x:c r="P10" s="14" t="str">
        <x:v>Release blocker</x:v>
      </x:c>
      <x:c r="Q10" s="14" t="str">
        <x:v>myhomelib-e2e-tests/pom.xml | Evidence: ITERATION-07-E2E-PR-CI.md — 10/10 E2E PASS and wired into PR CI.</x:v>
      </x:c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 ht="44" customHeight="1">
      <x:c r="A11" s="14" t="str">
        <x:v>MHL-010</x:v>
      </x:c>
      <x:c r="B11" s="14" t="str">
        <x:v>7.1 Final</x:v>
      </x:c>
      <x:c r="C11" s="14" t="str">
        <x:v>P0</x:v>
      </x:c>
      <x:c r="D11" s="14" t="str">
        <x:v>CI/CD</x:v>
      </x:c>
      <x:c r="E11" s="14" t="str">
        <x:v>Додати швидкий CI для pull_request</x:v>
      </x:c>
      <x:c r="F11" s="14" t="str">
        <x:v>.github/workflows</x:v>
      </x:c>
      <x:c r="G11" s="14" t="str">
        <x:v>Новий ci-pr.yml</x:v>
      </x:c>
      <x:c r="H11" s="14" t="str">
        <x:v>Основний release workflow не захищає кожен звичайний PR.</x:v>
      </x:c>
      <x:c r="I11" s="14" t="str">
        <x:v>PR workflow: compile, unit tests, architecture gates, migrations, security gates, format consistency; кеш Maven.</x:v>
      </x:c>
      <x:c r="J11" s="14" t="str">
        <x:v>1) Кожен PR запускає CI; 2) merge блокується при fail; 3) median runtime ціль ≤ 10 хв; 4) release workflow не дублює зайві jobs.</x:v>
      </x:c>
      <x:c r="K11" s="14" t="str">
        <x:v>CI self-test</x:v>
      </x:c>
      <x:c r="L11" s="14" t="str">
        <x:v>M</x:v>
      </x:c>
      <x:c r="M11" s="14" t="n">
        <x:v>5</x:v>
      </x:c>
      <x:c r="N11" s="14" t="str">
        <x:v>DevOps</x:v>
      </x:c>
      <x:c r="O11" s="14" t="str">
        <x:v>Очікує GitHub-перевірки</x:v>
      </x:c>
      <x:c r="P11" s="14" t="str">
        <x:v>High</x:v>
      </x:c>
      <x:c r="Q11" s="14" t="str">
        <x:v>.github/workflows/ci-pr.yml | Evidence: ITERATION-22-WINDOWS-HOST-SESSION-BINDING-WIP.md — exact-candidate GitHub evidence is now followed by a single Windows host/user/session binding; final reviewer evidence rejects mixed-machine or mixed-session reports. Live GitHub Overall: PASS still required.</x:v>
      </x:c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 ht="44" customHeight="1">
      <x:c r="A12" s="14" t="str">
        <x:v>MHL-011</x:v>
      </x:c>
      <x:c r="B12" s="14" t="str">
        <x:v>7.1 Final</x:v>
      </x:c>
      <x:c r="C12" s="14" t="str">
        <x:v>P0</x:v>
      </x:c>
      <x:c r="D12" s="14" t="str">
        <x:v>Windows / DPI</x:v>
      </x:c>
      <x:c r="E12" s="14" t="str">
        <x:v>Пройти acceptance на DPI 100/125/150/200%</x:v>
      </x:c>
      <x:c r="F12" s="14" t="str">
        <x:v>myhomelib-ui; myhomelib-reader</x:v>
      </x:c>
      <x:c r="G12" s="14" t="str">
        <x:v>Критичні екрани UI/Reader</x:v>
      </x:c>
      <x:c r="H12" s="14" t="str">
        <x:v>Статичні guards пройдені, але реальний Windows DPI acceptance не підтверджений.</x:v>
      </x:c>
      <x:c r="I12" s="14" t="str">
        <x:v>Запустити контрольний набір на Windows при 100/125/150/200%; зафіксувати screenshots і defects.</x:v>
      </x:c>
      <x:c r="J12" s="14" t="str">
        <x:v>Усі 4 DPI: головне вікно, import, search, details, reader, dialogs без clipping/overlap; усі P0/P1 defects закриті.</x:v>
      </x:c>
      <x:c r="K12" s="14" t="str">
        <x:v>Manual acceptance + screenshot evidence</x:v>
      </x:c>
      <x:c r="L12" s="14" t="str">
        <x:v>L</x:v>
      </x:c>
      <x:c r="M12" s="14" t="n">
        <x:v>8</x:v>
      </x:c>
      <x:c r="N12" s="14" t="str">
        <x:v>QA/Frontend</x:v>
      </x:c>
      <x:c r="O12" s="14" t="str">
        <x:v>Очікує Windows-перевірки</x:v>
      </x:c>
      <x:c r="P12" s="14" t="str">
        <x:v>Release blocker</x:v>
      </x:c>
      <x:c r="Q12" s="14" t="str">
        <x:v>docs/release / Stage P4 acceptance | Evidence: ITERATION-22-WINDOWS-HOST-SESSION-BINDING-WIP.md — all four DPI reports must now match one candidate-bound Windows host fingerprint, user fingerprint and acceptanceSessionId. Real 100/125/150/200% interactive screenshots remain required.</x:v>
      </x:c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 ht="44" customHeight="1">
      <x:c r="A13" s="14" t="str">
        <x:v>MHL-012</x:v>
      </x:c>
      <x:c r="B13" s="14" t="str">
        <x:v>7.1 Final</x:v>
      </x:c>
      <x:c r="C13" s="14" t="str">
        <x:v>P0</x:v>
      </x:c>
      <x:c r="D13" s="14" t="str">
        <x:v>Windows / Packaging</x:v>
      </x:c>
      <x:c r="E13" s="14" t="str">
        <x:v>Windows installer + portable smoke test</x:v>
      </x:c>
      <x:c r="F13" s="14" t="str">
        <x:v>packaging/bootstrap</x:v>
      </x:c>
      <x:c r="G13" s="14" t="str">
        <x:v>Installer; portable startup</x:v>
      </x:c>
      <x:c r="H13" s="14" t="str">
        <x:v>Final реліз потребує перевірки не лише code gates, а реального install/update/uninstall/portable.</x:v>
      </x:c>
      <x:c r="I13" s="14" t="str">
        <x:v>Прогнати install, first start, update, uninstall, portable mode, non-admin user, Unicode path.</x:v>
      </x:c>
      <x:c r="J13" s="14" t="str">
        <x:v>Усі сценарії PASS; user data не видаляються при update; uninstall поведінка документована; portable не пише в системний профіль без потреби.</x:v>
      </x:c>
      <x:c r="K13" s="14" t="str">
        <x:v>Manual + scripted smoke</x:v>
      </x:c>
      <x:c r="L13" s="14" t="str">
        <x:v>L</x:v>
      </x:c>
      <x:c r="M13" s="14" t="n">
        <x:v>8</x:v>
      </x:c>
      <x:c r="N13" s="14" t="str">
        <x:v>QA/DevOps</x:v>
      </x:c>
      <x:c r="O13" s="14" t="str">
        <x:v>Очікує Windows-перевірки</x:v>
      </x:c>
      <x:c r="P13" s="14" t="str">
        <x:v>Release blocker</x:v>
      </x:c>
      <x:c r="Q13" s="14" t="str">
        <x:v>Release docs | Evidence: ITERATION-22-WINDOWS-HOST-SESSION-BINDING-WIP.md — v71-windows-acceptance-start.ps1 clears stale evidence, creates one hashed machine/user session binding, then binds real-previous MSI, portable and desktop acceptance to it. Live standard-user Windows PASS still required.</x:v>
      </x:c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 ht="44" customHeight="1">
      <x:c r="A14" s="14" t="str">
        <x:v>MHL-013</x:v>
      </x:c>
      <x:c r="B14" s="14" t="str">
        <x:v>7.1 Final</x:v>
      </x:c>
      <x:c r="C14" s="14" t="str">
        <x:v>P1</x:v>
      </x:c>
      <x:c r="D14" s="14" t="str">
        <x:v>Security / Secrets</x:v>
      </x:c>
      <x:c r="E14" s="14" t="str">
        <x:v>Додати SecretStore abstraction</x:v>
      </x:c>
      <x:c r="F14" s="14" t="str">
        <x:v>myhomelib-shared; myhomelib-infrastructure</x:v>
      </x:c>
      <x:c r="G14" s="14" t="str">
        <x:v>EncryptionUtil; новий SecretStore</x:v>
      </x:c>
      <x:c r="H14" s="14" t="str">
        <x:v>Encryption key fallback зберігається локально; на Windows краще використовувати OS secret protection.</x:v>
      </x:c>
      <x:c r="I14" s="14" t="str">
        <x:v>Ввести SecretStore SPI: Windows DPAPI, macOS Keychain, Linux Secret Service; portable fallback окремо.</x:v>
      </x:c>
      <x:c r="J14" s="14" t="str">
        <x:v>1) Windows secrets не зберігаються як raw key поруч із config; 2) migration старого key; 3) portable mode має явне попередження.</x:v>
      </x:c>
      <x:c r="K14" s="14" t="str">
        <x:v>Unit + platform integration</x:v>
      </x:c>
      <x:c r="L14" s="14" t="str">
        <x:v>XL</x:v>
      </x:c>
      <x:c r="M14" s="14" t="n">
        <x:v>13</x:v>
      </x:c>
      <x:c r="N14" s="14" t="str">
        <x:v>Security</x:v>
      </x:c>
      <x:c r="O14" s="14" t="str">
        <x:v>Виконано</x:v>
      </x:c>
      <x:c r="P14" s="14" t="str">
        <x:v>High</x:v>
      </x:c>
      <x:c r="Q14" s="14" t="str">
        <x:v>EncryptionUtil; OWASP Cryptographic Storage | Evidence: ITERATION-13-SECRETSTORE-NATIVE-CREDENTIALS.md — SecretStore/native credentials implementation and regression gates PASS.</x:v>
      </x:c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 ht="44" customHeight="1">
      <x:c r="A15" s="14" t="str">
        <x:v>MHL-014</x:v>
      </x:c>
      <x:c r="B15" s="14" t="str">
        <x:v>7.1 Final</x:v>
      </x:c>
      <x:c r="C15" s="14" t="str">
        <x:v>P1</x:v>
      </x:c>
      <x:c r="D15" s="14" t="str">
        <x:v>Security / OPDS</x:v>
      </x:c>
      <x:c r="E15" s="14" t="str">
        <x:v>Rate limiting і connection limits для OPDS</x:v>
      </x:c>
      <x:c r="F15" s="14" t="str">
        <x:v>myhomelib-opds</x:v>
      </x:c>
      <x:c r="G15" s="14" t="str">
        <x:v>JdkOpdsServer / auth layer</x:v>
      </x:c>
      <x:c r="H15" s="14" t="str">
        <x:v>LAN-сервер має обмежувати brute force та надмірну кількість запитів.</x:v>
      </x:c>
      <x:c r="I15" s="14" t="str">
        <x:v>Додати per-IP auth throttling, request/connection limits, короткі timeouts і security logging.</x:v>
      </x:c>
      <x:c r="J15" s="14" t="str">
        <x:v>Brute-force тест викликає throttling; нормальна навігація не деградує; limits configurable.</x:v>
      </x:c>
      <x:c r="K15" s="14" t="str">
        <x:v>Security integration test</x:v>
      </x:c>
      <x:c r="L15" s="14" t="str">
        <x:v>M</x:v>
      </x:c>
      <x:c r="M15" s="14" t="n">
        <x:v>5</x:v>
      </x:c>
      <x:c r="N15" s="14" t="str">
        <x:v>Backend/Security</x:v>
      </x:c>
      <x:c r="O15" s="14" t="str">
        <x:v>Виконано</x:v>
      </x:c>
      <x:c r="P15" s="14" t="str">
        <x:v>Medium</x:v>
      </x:c>
      <x:c r="Q15" s="14" t="str">
        <x:v>JdkOpdsServer | Evidence: ITERATION-05-OPDS-TRANSPORT-GUARDS.md — throttling/connection limits DONE; integration/static gates PASS.</x:v>
      </x:c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 ht="44" customHeight="1">
      <x:c r="A16" s="14" t="str">
        <x:v>MHL-015</x:v>
      </x:c>
      <x:c r="B16" s="14" t="str">
        <x:v>7.1 Final</x:v>
      </x:c>
      <x:c r="C16" s="14" t="str">
        <x:v>P1</x:v>
      </x:c>
      <x:c r="D16" s="14" t="str">
        <x:v>Security / OPDS</x:v>
      </x:c>
      <x:c r="E16" s="14" t="str">
        <x:v>Керування TLS-сертифікатом у UI</x:v>
      </x:c>
      <x:c r="F16" s="14" t="str">
        <x:v>myhomelib-ui; myhomelib-opds</x:v>
      </x:c>
      <x:c r="G16" s="14" t="str">
        <x:v>OPDS settings screen; TLS config</x:v>
      </x:c>
      <x:c r="H16" s="14" t="str">
        <x:v>TLS без зрозумілого certificate UX буде складним для користувача.</x:v>
      </x:c>
      <x:c r="I16" s="14" t="str">
        <x:v>Self-signed generation, import certificate/key, fingerprint display, regenerate, clear warning on trust.</x:v>
      </x:c>
      <x:c r="J16" s="14" t="str">
        <x:v>Користувач може запустити HTTPS без ручного редагування файлів; fingerprint відображається; помилковий cert дає зрозумілу помилку.</x:v>
      </x:c>
      <x:c r="K16" s="14" t="str">
        <x:v>UI + integration</x:v>
      </x:c>
      <x:c r="L16" s="14" t="str">
        <x:v>L</x:v>
      </x:c>
      <x:c r="M16" s="14" t="n">
        <x:v>8</x:v>
      </x:c>
      <x:c r="N16" s="14" t="str">
        <x:v>Frontend/Security</x:v>
      </x:c>
      <x:c r="O16" s="14" t="str">
        <x:v>Виконано</x:v>
      </x:c>
      <x:c r="P16" s="14" t="str">
        <x:v>Medium</x:v>
      </x:c>
      <x:c r="Q16" s="14" t="str">
        <x:v>Залежить від MHL-001 | Evidence: ITERATION-06-TLS-CERTIFICATE-ENCRYPTION-ENVELOPE.md — certificate lifecycle UI/application flow DONE; tests PASS.</x:v>
      </x:c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 ht="44" customHeight="1">
      <x:c r="A17" s="14" t="str">
        <x:v>MHL-016</x:v>
      </x:c>
      <x:c r="B17" s="14" t="str">
        <x:v>7.1 Final</x:v>
      </x:c>
      <x:c r="C17" s="14" t="str">
        <x:v>P1</x:v>
      </x:c>
      <x:c r="D17" s="14" t="str">
        <x:v>i18n</x:v>
      </x:c>
      <x:c r="E17" s="14" t="str">
        <x:v>Винести критичні hard-coded UI strings у keys</x:v>
      </x:c>
      <x:c r="F17" s="14" t="str">
        <x:v>myhomelib-ui; Lang</x:v>
      </x:c>
      <x:c r="G17" s="14" t="str">
        <x:v>Search/Reader/Import/OPDS/Backup screens</x:v>
      </x:c>
      <x:c r="H17" s="14" t="str">
        <x:v>У JavaFX-коді лишається значний обсяг hard-coded українського тексту.</x:v>
      </x:c>
      <x:c r="I17" s="14" t="str">
        <x:v>Перенести user-facing literals критичних екранів у стабільні ключі; додати scanner для нових literals.</x:v>
      </x:c>
      <x:c r="J17" s="14" t="str">
        <x:v>UK/EN/BG мають однакові keys; critical screens не містять user-facing кириличних literals поза allowlist.</x:v>
      </x:c>
      <x:c r="K17" s="14" t="str">
        <x:v>Static localization gate + UI smoke</x:v>
      </x:c>
      <x:c r="L17" s="14" t="str">
        <x:v>L</x:v>
      </x:c>
      <x:c r="M17" s="14" t="n">
        <x:v>8</x:v>
      </x:c>
      <x:c r="N17" s="14" t="str">
        <x:v>Frontend</x:v>
      </x:c>
      <x:c r="O17" s="14" t="str">
        <x:v>Виконано</x:v>
      </x:c>
      <x:c r="P17" s="14" t="str">
        <x:v>Medium</x:v>
      </x:c>
      <x:c r="Q17" s="14" t="str">
        <x:v>Lang/; myhomelib-ui | Evidence: ITERATION-14-CRITICAL-UI-I18N.md — critical UI localization gate PASS (UK/EN/BG).</x:v>
      </x:c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 ht="44" customHeight="1">
      <x:c r="A18" s="14" t="str">
        <x:v>MHL-017</x:v>
      </x:c>
      <x:c r="B18" s="14" t="str">
        <x:v>7.1 Final</x:v>
      </x:c>
      <x:c r="C18" s="14" t="str">
        <x:v>P1</x:v>
      </x:c>
      <x:c r="D18" s="14" t="str">
        <x:v>Supply chain</x:v>
      </x:c>
      <x:c r="E18" s="14" t="str">
        <x:v>Генерувати SBOM для релізу</x:v>
      </x:c>
      <x:c r="F18" s="14" t="str">
        <x:v>build/CI</x:v>
      </x:c>
      <x:c r="G18" s="14" t="str">
        <x:v>Root pom; ci-release.yml</x:v>
      </x:c>
      <x:c r="H18" s="14" t="str">
        <x:v>Немає явного release SBOM у поточному handoff.</x:v>
      </x:c>
      <x:c r="I18" s="14" t="str">
        <x:v>Додати CycloneDX SBOM для Maven reactor; прикріплювати до release artifacts.</x:v>
      </x:c>
      <x:c r="J18" s="14" t="str">
        <x:v>Кожен release має SBOM JSON/XML; містить усі runtime dependencies; CI fail при generation error.</x:v>
      </x:c>
      <x:c r="K18" s="14" t="str">
        <x:v>CI verification</x:v>
      </x:c>
      <x:c r="L18" s="14" t="str">
        <x:v>S</x:v>
      </x:c>
      <x:c r="M18" s="14" t="n">
        <x:v>2</x:v>
      </x:c>
      <x:c r="N18" s="14" t="str">
        <x:v>DevOps/Security</x:v>
      </x:c>
      <x:c r="O18" s="14" t="str">
        <x:v>Очікує GitHub-перевірки</x:v>
      </x:c>
      <x:c r="P18" s="14" t="str">
        <x:v>Medium</x:v>
      </x:c>
      <x:c r="Q18" s="14" t="str">
        <x:v>Maven build | Evidence: ITERATION-22-WINDOWS-HOST-SESSION-BINDING-WIP.md — final supply-chain/candidate evidence remains exact-run bound; the resulting Windows evidence must additionally prove one host/user/session across MSI/EXE/portable/DPI acceptance. Live GitHub PASS still required.</x:v>
      </x:c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 ht="44" customHeight="1">
      <x:c r="A19" s="14" t="str">
        <x:v>MHL-018</x:v>
      </x:c>
      <x:c r="B19" s="14" t="str">
        <x:v>7.1 Final</x:v>
      </x:c>
      <x:c r="C19" s="14" t="str">
        <x:v>P1</x:v>
      </x:c>
      <x:c r="D19" s="14" t="str">
        <x:v>Supply chain</x:v>
      </x:c>
      <x:c r="E19" s="14" t="str">
        <x:v>Dependency vulnerability scan</x:v>
      </x:c>
      <x:c r="F19" s="14" t="str">
        <x:v>CI</x:v>
      </x:c>
      <x:c r="G19" s="14" t="str">
        <x:v>ci-pr.yml; ci-release.yml</x:v>
      </x:c>
      <x:c r="H19" s="14" t="str">
        <x:v>Потрібен автоматичний контроль відомих CVE залежностей.</x:v>
      </x:c>
      <x:c r="I19" s="14" t="str">
        <x:v>Додати OWASP Dependency-Check/аналог; severity policy; allowlist з expiry.</x:v>
      </x:c>
      <x:c r="J19" s="14" t="str">
        <x:v>PR/release падає на забороненому severity; звіт зберігається як artifact; suppressions мають обґрунтування і expiry.</x:v>
      </x:c>
      <x:c r="K19" s="14" t="str">
        <x:v>CI test</x:v>
      </x:c>
      <x:c r="L19" s="14" t="str">
        <x:v>M</x:v>
      </x:c>
      <x:c r="M19" s="14" t="n">
        <x:v>5</x:v>
      </x:c>
      <x:c r="N19" s="14" t="str">
        <x:v>DevOps/Security</x:v>
      </x:c>
      <x:c r="O19" s="14" t="str">
        <x:v>Очікує GitHub-перевірки</x:v>
      </x:c>
      <x:c r="P19" s="14" t="str">
        <x:v>Medium</x:v>
      </x:c>
      <x:c r="Q19" s="14" t="str">
        <x:v>MHL-010 | Evidence: ITERATION-22-WINDOWS-HOST-SESSION-BINDING-WIP.md — Dependency-Check/SBOM evidence remains candidate/run-bound, while final reviewer integrity now also rejects mixed Windows host/session evidence. Live successful GitHub run still required.</x:v>
      </x:c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 ht="44" customHeight="1">
      <x:c r="A20" s="14" t="str">
        <x:v>MHL-019</x:v>
      </x:c>
      <x:c r="B20" s="14" t="str">
        <x:v>7.1 Final</x:v>
      </x:c>
      <x:c r="C20" s="14" t="str">
        <x:v>P1</x:v>
      </x:c>
      <x:c r="D20" s="14" t="str">
        <x:v>Supply chain</x:v>
      </x:c>
      <x:c r="E20" s="14" t="str">
        <x:v>CodeQL/SAST на main і PR</x:v>
      </x:c>
      <x:c r="F20" s="14" t="str">
        <x:v>CI</x:v>
      </x:c>
      <x:c r="G20" s="14" t="str">
        <x:v>.github/workflows</x:v>
      </x:c>
      <x:c r="H20" s="14" t="str">
        <x:v>Статичні custom gates сильні, але загального SAST немає.</x:v>
      </x:c>
      <x:c r="I20" s="14" t="str">
        <x:v>Додати CodeQL для Java; запуск PR/main/schedule.</x:v>
      </x:c>
      <x:c r="J20" s="14" t="str">
        <x:v>Security findings visible у CI; high severity блокує release за погодженою policy.</x:v>
      </x:c>
      <x:c r="K20" s="14" t="str">
        <x:v>CI</x:v>
      </x:c>
      <x:c r="L20" s="14" t="str">
        <x:v>S</x:v>
      </x:c>
      <x:c r="M20" s="14" t="n">
        <x:v>2</x:v>
      </x:c>
      <x:c r="N20" s="14" t="str">
        <x:v>DevOps/Security</x:v>
      </x:c>
      <x:c r="O20" s="14" t="str">
        <x:v>Очікує GitHub-перевірки</x:v>
      </x:c>
      <x:c r="P20" s="14" t="str">
        <x:v>Low</x:v>
      </x:c>
      <x:c r="Q20" s="14" t="str">
        <x:v>MHL-010 | Evidence: ITERATION-22-WINDOWS-HOST-SESSION-BINDING-WIP.md — exact-candidate CodeQL remains fail-closed; final Windows evidence is additionally bound to the same GitHub acceptance run through the host/session record. Live GitHub PASS still required.</x:v>
      </x:c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 ht="44" customHeight="1">
      <x:c r="A21" s="14" t="str">
        <x:v>MHL-020</x:v>
      </x:c>
      <x:c r="B21" s="14" t="str">
        <x:v>7.1 Final</x:v>
      </x:c>
      <x:c r="C21" s="14" t="str">
        <x:v>P1</x:v>
      </x:c>
      <x:c r="D21" s="14" t="str">
        <x:v>Packaging</x:v>
      </x:c>
      <x:c r="E21" s="14" t="str">
        <x:v>Перевірити self-contained source archive</x:v>
      </x:c>
      <x:c r="F21" s="14" t="str">
        <x:v>release packaging</x:v>
      </x:c>
      <x:c r="G21" s="14" t="str">
        <x:v>build.sh; build.ps1; Maven Wrapper</x:v>
      </x:c>
      <x:c r="H21" s="14" t="str">
        <x:v>Переданий ZIP не містить Maven Wrapper, хоча build scripts/CI його очікують; документація допускає code-only handoff.</x:v>
      </x:c>
      <x:c r="I21" s="14" t="str">
        <x:v>Або додавати wrapper до source release, або чітко маркувати code-only archive і надавати окремий reproducible build package.</x:v>
      </x:c>
      <x:c r="J21" s="14" t="str">
        <x:v>Source-release archive запускає documented build командою без прихованих файлів; або документація однозначно пояснює requirement.</x:v>
      </x:c>
      <x:c r="K21" s="14" t="str">
        <x:v>Release smoke</x:v>
      </x:c>
      <x:c r="L21" s="14" t="str">
        <x:v>S</x:v>
      </x:c>
      <x:c r="M21" s="14" t="n">
        <x:v>2</x:v>
      </x:c>
      <x:c r="N21" s="14" t="str">
        <x:v>DevOps</x:v>
      </x:c>
      <x:c r="O21" s="14" t="str">
        <x:v>Виконано</x:v>
      </x:c>
      <x:c r="P21" s="14" t="str">
        <x:v>Medium</x:v>
      </x:c>
      <x:c r="Q21" s="14" t="str">
        <x:v>build.sh; build.ps1; docs | Evidence: ITERATION-08-SUPPLY-CHAIN-SOURCE-PACKAGING.md — self-contained source release rehearsal PASS; patch↔ZIP equivalence PASS.</x:v>
      </x:c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 ht="44" customHeight="1">
      <x:c r="A22" s="14" t="str">
        <x:v>MHL-021</x:v>
      </x:c>
      <x:c r="B22" s="14" t="str">
        <x:v>7.1 Final</x:v>
      </x:c>
      <x:c r="C22" s="14" t="str">
        <x:v>P2</x:v>
      </x:c>
      <x:c r="D22" s="14" t="str">
        <x:v>Domain hardening</x:v>
      </x:c>
      <x:c r="E22" s="14" t="str">
        <x:v>Зробити collections у Book immutable назовні</x:v>
      </x:c>
      <x:c r="F22" s="14" t="str">
        <x:v>myhomelib-domain</x:v>
      </x:c>
      <x:c r="G22" s="14" t="str">
        <x:v>Book aggregate</x:v>
      </x:c>
      <x:c r="H22" s="14" t="str">
        <x:v>Mutable collections authors/genres можуть дозволити обхід domain methods.</x:v>
      </x:c>
      <x:c r="I22" s="14" t="str">
        <x:v>Повернути immutable views/copies; mutation лише через domain methods.</x:v>
      </x:c>
      <x:c r="J22" s="14" t="str">
        <x:v>Зовнішній код не може modify list; domain tests покривають mutation API; serialization/repository не ламаються.</x:v>
      </x:c>
      <x:c r="K22" s="14" t="str">
        <x:v>Unit regression</x:v>
      </x:c>
      <x:c r="L22" s="14" t="str">
        <x:v>M</x:v>
      </x:c>
      <x:c r="M22" s="14" t="n">
        <x:v>5</x:v>
      </x:c>
      <x:c r="N22" s="14" t="str">
        <x:v>Backend</x:v>
      </x:c>
      <x:c r="O22" s="14" t="str">
        <x:v>Виконано</x:v>
      </x:c>
      <x:c r="P22" s="14" t="str">
        <x:v>Low</x:v>
      </x:c>
      <x:c r="Q22" s="14" t="str">
        <x:v>Book domain aggregate | Evidence: ITERATION-11-TRANSACTIONAL-EDIT-DOMAIN-IMMUTABILITY.md — Book collections hardened to immutable outward semantics; regression tests PASS.</x:v>
      </x:c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 ht="44" customHeight="1">
      <x:c r="A23" s="14" t="str">
        <x:v>MHL-022</x:v>
      </x:c>
      <x:c r="B23" s="14" t="str">
        <x:v>7.1 Final</x:v>
      </x:c>
      <x:c r="C23" s="14" t="str">
        <x:v>P2</x:v>
      </x:c>
      <x:c r="D23" s="14" t="str">
        <x:v>Bootstrap</x:v>
      </x:c>
      <x:c r="E23" s="14" t="str">
        <x:v>Декомпозувати startup orchestration</x:v>
      </x:c>
      <x:c r="F23" s="14" t="str">
        <x:v>myhomelib-bootstrap</x:v>
      </x:c>
      <x:c r="G23" s="14" t="str">
        <x:v>Bootstrap/startup orchestration</x:v>
      </x:c>
      <x:c r="H23" s="14" t="str">
        <x:v>Startup orchestration концентрує багато відповідальностей.</x:v>
      </x:c>
      <x:c r="I23" s="14" t="str">
        <x:v>Виділити MigrationStartupTask, SearchStartupTask, BackupStartupTask, OPDSStartupTask, RecoveryStartupTask.</x:v>
      </x:c>
      <x:c r="J23" s="14" t="str">
        <x:v>Кожна задача тестується окремо; startup order явно заданий; fail одного task має контрольовану політику.</x:v>
      </x:c>
      <x:c r="K23" s="14" t="str">
        <x:v>Unit/integration</x:v>
      </x:c>
      <x:c r="L23" s="14" t="str">
        <x:v>L</x:v>
      </x:c>
      <x:c r="M23" s="14" t="n">
        <x:v>8</x:v>
      </x:c>
      <x:c r="N23" s="14" t="str">
        <x:v>Architecture</x:v>
      </x:c>
      <x:c r="O23" s="14" t="str">
        <x:v>Виконано</x:v>
      </x:c>
      <x:c r="P23" s="14" t="str">
        <x:v>Low</x:v>
      </x:c>
      <x:c r="Q23" s="14" t="str">
        <x:v>ARCHITECTURE.md | Evidence: ITERATION-15-STARTUP-ORCHESTRATION.md — startup orchestration decomposed; startup gates PASS.</x:v>
      </x:c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 ht="44" customHeight="1">
      <x:c r="A24" s="14" t="str">
        <x:v>MHL-101</x:v>
      </x:c>
      <x:c r="B24" s="14" t="str">
        <x:v>7.2</x:v>
      </x:c>
      <x:c r="C24" s="14" t="str">
        <x:v>P1</x:v>
      </x:c>
      <x:c r="D24" s="14" t="str">
        <x:v>Library model</x:v>
      </x:c>
      <x:c r="E24" s="14" t="str">
        <x:v>Multi-artifact book: доменна модель</x:v>
      </x:c>
      <x:c r="F24" s="14" t="str">
        <x:v>myhomelib-domain; myhomelib-application</x:v>
      </x:c>
      <x:c r="G24" s="14" t="str">
        <x:v>Book; BookArtifact; artifact relations</x:v>
      </x:c>
      <x:c r="H24" s="14" t="str">
        <x:v>Одна логічна книга повинна мати кілька файлів/форматів.</x:v>
      </x:c>
      <x:c r="I24" s="14" t="str">
        <x:v>Підняти book_artifacts до повноцінної domain/application моделі; primary/preferred artifact.</x:v>
      </x:c>
      <x:c r="J24" s="14" t="str">
        <x:v>Одна книга може містити EPUB+FB2+PDF; видалення одного artifact не видаляє книгу; API повертає всі artifacts.</x:v>
      </x:c>
      <x:c r="K24" s="14" t="str">
        <x:v>Unit + repository integration</x:v>
      </x:c>
      <x:c r="L24" s="14" t="str">
        <x:v>XL</x:v>
      </x:c>
      <x:c r="M24" s="14" t="n">
        <x:v>13</x:v>
      </x:c>
      <x:c r="N24" s="14" t="str">
        <x:v>Backend</x:v>
      </x:c>
      <x:c r="O24" s="14" t="str">
        <x:v>Не розпочато</x:v>
      </x:c>
      <x:c r="P24" s="14" t="str">
        <x:v>Strategic</x:v>
      </x:c>
      <x:c r="Q24" s="14" t="str">
        <x:v>DB already has book_artifacts foundation</x:v>
      </x:c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 ht="44" customHeight="1">
      <x:c r="A25" s="14" t="str">
        <x:v>MHL-102</x:v>
      </x:c>
      <x:c r="B25" s="14" t="str">
        <x:v>7.2</x:v>
      </x:c>
      <x:c r="C25" s="14" t="str">
        <x:v>P1</x:v>
      </x:c>
      <x:c r="D25" s="14" t="str">
        <x:v>Library model</x:v>
      </x:c>
      <x:c r="E25" s="14" t="str">
        <x:v>UI вибору формату/артефакту</x:v>
      </x:c>
      <x:c r="F25" s="14" t="str">
        <x:v>myhomelib-ui</x:v>
      </x:c>
      <x:c r="G25" s="14" t="str">
        <x:v>Book details; Open/Send actions</x:v>
      </x:c>
      <x:c r="H25" s="14" t="str">
        <x:v>Після multi-artifact користувачу потрібен прозорий вибір файла.</x:v>
      </x:c>
      <x:c r="I25" s="14" t="str">
        <x:v>Показувати badges форматів, preferred format, 'відкрити як', source/location.</x:v>
      </x:c>
      <x:c r="J25" s="14" t="str">
        <x:v>Open використовує preferred artifact; користувач може змінити default; недоступний файл чітко позначено.</x:v>
      </x:c>
      <x:c r="K25" s="14" t="str">
        <x:v>UI integration</x:v>
      </x:c>
      <x:c r="L25" s="14" t="str">
        <x:v>L</x:v>
      </x:c>
      <x:c r="M25" s="14" t="n">
        <x:v>8</x:v>
      </x:c>
      <x:c r="N25" s="14" t="str">
        <x:v>Frontend</x:v>
      </x:c>
      <x:c r="O25" s="14" t="str">
        <x:v>Не розпочато</x:v>
      </x:c>
      <x:c r="P25" s="14" t="str">
        <x:v>Strategic</x:v>
      </x:c>
      <x:c r="Q25" s="14" t="str">
        <x:v>MHL-101</x:v>
      </x:c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 ht="44" customHeight="1">
      <x:c r="A26" s="14" t="str">
        <x:v>MHL-103</x:v>
      </x:c>
      <x:c r="B26" s="14" t="str">
        <x:v>7.2</x:v>
      </x:c>
      <x:c r="C26" s="14" t="str">
        <x:v>P1</x:v>
      </x:c>
      <x:c r="D26" s="14" t="str">
        <x:v>Database</x:v>
      </x:c>
      <x:c r="E26" s="14" t="str">
        <x:v>Міграції для multi-artifact semantics</x:v>
      </x:c>
      <x:c r="F26" s="14" t="str">
        <x:v>myhomelib-infrastructure</x:v>
      </x:c>
      <x:c r="G26" s="14" t="str">
        <x:v>Flyway migrations; repositories</x:v>
      </x:c>
      <x:c r="H26" s="14" t="str">
        <x:v>Потрібно гарантувати збереження існуючих бібліотек при переході на нову модель.</x:v>
      </x:c>
      <x:c r="I26" s="14" t="str">
        <x:v>Додати backward-safe migrations, constraints, indexes, unique rules, artifact state.</x:v>
      </x:c>
      <x:c r="J26" s="14" t="str">
        <x:v>Міграція великої тестової БД проходить; row counts збережено; rollback strategy задокументована.</x:v>
      </x:c>
      <x:c r="K26" s="14" t="str">
        <x:v>Migration + performance</x:v>
      </x:c>
      <x:c r="L26" s="14" t="str">
        <x:v>L</x:v>
      </x:c>
      <x:c r="M26" s="14" t="n">
        <x:v>8</x:v>
      </x:c>
      <x:c r="N26" s="14" t="str">
        <x:v>Backend/DB</x:v>
      </x:c>
      <x:c r="O26" s="14" t="str">
        <x:v>Не розпочато</x:v>
      </x:c>
      <x:c r="P26" s="14" t="str">
        <x:v>Strategic</x:v>
      </x:c>
      <x:c r="Q26" s="14" t="str">
        <x:v>MHL-101</x:v>
      </x:c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 ht="44" customHeight="1">
      <x:c r="A27" s="14" t="str">
        <x:v>MHL-104</x:v>
      </x:c>
      <x:c r="B27" s="14" t="str">
        <x:v>7.2</x:v>
      </x:c>
      <x:c r="C27" s="14" t="str">
        <x:v>P1</x:v>
      </x:c>
      <x:c r="D27" s="14" t="str">
        <x:v>Duplicates</x:v>
      </x:c>
      <x:c r="E27" s="14" t="str">
        <x:v>Exact duplicate scanner</x:v>
      </x:c>
      <x:c r="F27" s="14" t="str">
        <x:v>myhomelib-application; myhomelib-infrastructure</x:v>
      </x:c>
      <x:c r="G27" s="14" t="str">
        <x:v>Новий DuplicateDetectionService</x:v>
      </x:c>
      <x:c r="H27" s="14" t="str">
        <x:v>Великі бібліотеки накопичують дублікати файлів і записів.</x:v>
      </x:c>
      <x:c r="I27" s="14" t="str">
        <x:v>SHA-256/content size/ISBN exact matching; batch scanner з checkpoint.</x:v>
      </x:c>
      <x:c r="J27" s="14" t="str">
        <x:v>Однакові файли знаходяться 100%; скан можна resume; без блокування UI.</x:v>
      </x:c>
      <x:c r="K27" s="14" t="str">
        <x:v>Unit + benchmark</x:v>
      </x:c>
      <x:c r="L27" s="14" t="str">
        <x:v>L</x:v>
      </x:c>
      <x:c r="M27" s="14" t="n">
        <x:v>8</x:v>
      </x:c>
      <x:c r="N27" s="14" t="str">
        <x:v>Backend</x:v>
      </x:c>
      <x:c r="O27" s="14" t="str">
        <x:v>Не розпочато</x:v>
      </x:c>
      <x:c r="P27" s="14" t="str">
        <x:v>High</x:v>
      </x:c>
      <x:c r="Q27" s="14" t="str">
        <x:v>MHL-101</x:v>
      </x:c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 ht="44" customHeight="1">
      <x:c r="A28" s="14" t="str">
        <x:v>MHL-105</x:v>
      </x:c>
      <x:c r="B28" s="14" t="str">
        <x:v>7.2</x:v>
      </x:c>
      <x:c r="C28" s="14" t="str">
        <x:v>P1</x:v>
      </x:c>
      <x:c r="D28" s="14" t="str">
        <x:v>Duplicates</x:v>
      </x:c>
      <x:c r="E28" s="14" t="str">
        <x:v>Fuzzy duplicate detection</x:v>
      </x:c>
      <x:c r="F28" s="14" t="str">
        <x:v>myhomelib-application</x:v>
      </x:c>
      <x:c r="G28" s="14" t="str">
        <x:v>Duplicate rules</x:v>
      </x:c>
      <x:c r="H28" s="14" t="str">
        <x:v>Різні формати тієї самої книги мають різний hash.</x:v>
      </x:c>
      <x:c r="I28" s="14" t="str">
        <x:v>Normalized author/title/series/volume/ISBN + configurable similarity threshold.</x:v>
      </x:c>
      <x:c r="J28" s="14" t="str">
        <x:v>Відомий corpus має precision/recall target; користувач бачить reason/score; false positives не auto-merge.</x:v>
      </x:c>
      <x:c r="K28" s="14" t="str">
        <x:v>Unit + evaluation corpus</x:v>
      </x:c>
      <x:c r="L28" s="14" t="str">
        <x:v>L</x:v>
      </x:c>
      <x:c r="M28" s="14" t="n">
        <x:v>8</x:v>
      </x:c>
      <x:c r="N28" s="14" t="str">
        <x:v>Backend</x:v>
      </x:c>
      <x:c r="O28" s="14" t="str">
        <x:v>Не розпочато</x:v>
      </x:c>
      <x:c r="P28" s="14" t="str">
        <x:v>High</x:v>
      </x:c>
      <x:c r="Q28" s="14" t="str">
        <x:v>MHL-104</x:v>
      </x:c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 ht="44" customHeight="1">
      <x:c r="A29" s="14" t="str">
        <x:v>MHL-106</x:v>
      </x:c>
      <x:c r="B29" s="14" t="str">
        <x:v>7.2</x:v>
      </x:c>
      <x:c r="C29" s="14" t="str">
        <x:v>P1</x:v>
      </x:c>
      <x:c r="D29" s="14" t="str">
        <x:v>Duplicates</x:v>
      </x:c>
      <x:c r="E29" s="14" t="str">
        <x:v>Merge Books UI</x:v>
      </x:c>
      <x:c r="F29" s="14" t="str">
        <x:v>myhomelib-ui; myhomelib-application</x:v>
      </x:c>
      <x:c r="G29" s="14" t="str">
        <x:v>Duplicate review workspace</x:v>
      </x:c>
      <x:c r="H29" s="14" t="str">
        <x:v>Потрібна керована консолідація дублів.</x:v>
      </x:c>
      <x:c r="I29" s="14" t="str">
        <x:v>Side-by-side metadata/artifacts; choose values; merge; undo.</x:v>
      </x:c>
      <x:c r="J29" s="14" t="str">
        <x:v>Merge не видаляє фізичні файли без явної опції; user data зберігаються; операція undoable.</x:v>
      </x:c>
      <x:c r="K29" s="14" t="str">
        <x:v>E2E</x:v>
      </x:c>
      <x:c r="L29" s="14" t="str">
        <x:v>XL</x:v>
      </x:c>
      <x:c r="M29" s="14" t="n">
        <x:v>13</x:v>
      </x:c>
      <x:c r="N29" s="14" t="str">
        <x:v>Frontend/Backend</x:v>
      </x:c>
      <x:c r="O29" s="14" t="str">
        <x:v>Не розпочато</x:v>
      </x:c>
      <x:c r="P29" s="14" t="str">
        <x:v>High</x:v>
      </x:c>
      <x:c r="Q29" s="14" t="str">
        <x:v>MHL-101,MHL-105</x:v>
      </x:c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 ht="44" customHeight="1">
      <x:c r="A30" s="14" t="str">
        <x:v>MHL-107</x:v>
      </x:c>
      <x:c r="B30" s="14" t="str">
        <x:v>7.2</x:v>
      </x:c>
      <x:c r="C30" s="14" t="str">
        <x:v>P1</x:v>
      </x:c>
      <x:c r="D30" s="14" t="str">
        <x:v>Metadata</x:v>
      </x:c>
      <x:c r="E30" s="14" t="str">
        <x:v>MetadataProvider SPI</x:v>
      </x:c>
      <x:c r="F30" s="14" t="str">
        <x:v>myhomelib-application</x:v>
      </x:c>
      <x:c r="G30" s="14" t="str">
        <x:v>Новий MetadataProvider port</x:v>
      </x:c>
      <x:c r="H30" s="14" t="str">
        <x:v>Online metadata не мають бути жорстко прив'язані до одного сервісу.</x:v>
      </x:c>
      <x:c r="I30" s="14" t="str">
        <x:v>SPI з search by ISBN/title/author, rate limits, confidence, source attribution.</x:v>
      </x:c>
      <x:c r="J30" s="14" t="str">
        <x:v>Два mock providers працюють взаємозамінно; timeout/cancel/error policy однакова.</x:v>
      </x:c>
      <x:c r="K30" s="14" t="str">
        <x:v>Unit contract tests</x:v>
      </x:c>
      <x:c r="L30" s="14" t="str">
        <x:v>M</x:v>
      </x:c>
      <x:c r="M30" s="14" t="n">
        <x:v>5</x:v>
      </x:c>
      <x:c r="N30" s="14" t="str">
        <x:v>Architecture</x:v>
      </x:c>
      <x:c r="O30" s="14" t="str">
        <x:v>Не розпочато</x:v>
      </x:c>
      <x:c r="P30" s="14" t="str">
        <x:v>High</x:v>
      </x:c>
      <x:c r="Q30" s="14" t="str">
        <x:v>—</x:v>
      </x:c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 ht="44" customHeight="1">
      <x:c r="A31" s="14" t="str">
        <x:v>MHL-108</x:v>
      </x:c>
      <x:c r="B31" s="14" t="str">
        <x:v>7.2</x:v>
      </x:c>
      <x:c r="C31" s="14" t="str">
        <x:v>P2</x:v>
      </x:c>
      <x:c r="D31" s="14" t="str">
        <x:v>Metadata</x:v>
      </x:c>
      <x:c r="E31" s="14" t="str">
        <x:v>Open Library provider</x:v>
      </x:c>
      <x:c r="F31" s="14" t="str">
        <x:v>myhomelib-infrastructure</x:v>
      </x:c>
      <x:c r="G31" s="14" t="str">
        <x:v>OpenLibraryMetadataProvider</x:v>
      </x:c>
      <x:c r="H31" s="14" t="str">
        <x:v>Потрібен перший відкритий metadata source.</x:v>
      </x:c>
      <x:c r="I31" s="14" t="str">
        <x:v>Реалізувати пошук ISBN/title/author, cover links, attribution, caching.</x:v>
      </x:c>
      <x:c r="J31" s="14" t="str">
        <x:v>Коректно мапляться назва/автори/рік/ISBN/cover; rate limits handled; source shown.</x:v>
      </x:c>
      <x:c r="K31" s="14" t="str">
        <x:v>Integration contract test</x:v>
      </x:c>
      <x:c r="L31" s="14" t="str">
        <x:v>M</x:v>
      </x:c>
      <x:c r="M31" s="14" t="n">
        <x:v>5</x:v>
      </x:c>
      <x:c r="N31" s="14" t="str">
        <x:v>Backend</x:v>
      </x:c>
      <x:c r="O31" s="14" t="str">
        <x:v>Не розпочато</x:v>
      </x:c>
      <x:c r="P31" s="14" t="str">
        <x:v>Medium</x:v>
      </x:c>
      <x:c r="Q31" s="14" t="str">
        <x:v>MHL-107</x:v>
      </x:c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 ht="44" customHeight="1">
      <x:c r="A32" s="14" t="str">
        <x:v>MHL-109</x:v>
      </x:c>
      <x:c r="B32" s="14" t="str">
        <x:v>7.2</x:v>
      </x:c>
      <x:c r="C32" s="14" t="str">
        <x:v>P2</x:v>
      </x:c>
      <x:c r="D32" s="14" t="str">
        <x:v>Metadata</x:v>
      </x:c>
      <x:c r="E32" s="14" t="str">
        <x:v>Google Books provider</x:v>
      </x:c>
      <x:c r="F32" s="14" t="str">
        <x:v>myhomelib-infrastructure</x:v>
      </x:c>
      <x:c r="G32" s="14" t="str">
        <x:v>GoogleBooksMetadataProvider</x:v>
      </x:c>
      <x:c r="H32" s="14" t="str">
        <x:v>Другий provider для кращого покриття.</x:v>
      </x:c>
      <x:c r="I32" s="14" t="str">
        <x:v>Додати API adapter, configurable key, throttling, result ranking.</x:v>
      </x:c>
      <x:c r="J32" s="14" t="str">
        <x:v>Provider можна вимкнути; API failures не блокують UI; source attribution збережено.</x:v>
      </x:c>
      <x:c r="K32" s="14" t="str">
        <x:v>Integration contract test</x:v>
      </x:c>
      <x:c r="L32" s="14" t="str">
        <x:v>M</x:v>
      </x:c>
      <x:c r="M32" s="14" t="n">
        <x:v>5</x:v>
      </x:c>
      <x:c r="N32" s="14" t="str">
        <x:v>Backend</x:v>
      </x:c>
      <x:c r="O32" s="14" t="str">
        <x:v>Не розпочато</x:v>
      </x:c>
      <x:c r="P32" s="14" t="str">
        <x:v>Medium</x:v>
      </x:c>
      <x:c r="Q32" s="14" t="str">
        <x:v>MHL-107</x:v>
      </x:c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 ht="44" customHeight="1">
      <x:c r="A33" s="14" t="str">
        <x:v>MHL-110</x:v>
      </x:c>
      <x:c r="B33" s="14" t="str">
        <x:v>7.2</x:v>
      </x:c>
      <x:c r="C33" s="14" t="str">
        <x:v>P1</x:v>
      </x:c>
      <x:c r="D33" s="14" t="str">
        <x:v>Metadata / UI</x:v>
      </x:c>
      <x:c r="E33" s="14" t="str">
        <x:v>Metadata merge preview</x:v>
      </x:c>
      <x:c r="F33" s="14" t="str">
        <x:v>myhomelib-ui</x:v>
      </x:c>
      <x:c r="G33" s="14" t="str">
        <x:v>Metadata compare dialog</x:v>
      </x:c>
      <x:c r="H33" s="14" t="str">
        <x:v>Автоматичний overwrite metadata небезпечний.</x:v>
      </x:c>
      <x:c r="I33" s="14" t="str">
        <x:v>Показати Current vs Proposed по полях; checkbox per field; confidence/source.</x:v>
      </x:c>
      <x:c r="J33" s="14" t="str">
        <x:v>Жодне поле не змінюється без вибору; preview працює для single/batch; cancel без side effects.</x:v>
      </x:c>
      <x:c r="K33" s="14" t="str">
        <x:v>UI/E2E</x:v>
      </x:c>
      <x:c r="L33" s="14" t="str">
        <x:v>L</x:v>
      </x:c>
      <x:c r="M33" s="14" t="n">
        <x:v>8</x:v>
      </x:c>
      <x:c r="N33" s="14" t="str">
        <x:v>Frontend</x:v>
      </x:c>
      <x:c r="O33" s="14" t="str">
        <x:v>Не розпочато</x:v>
      </x:c>
      <x:c r="P33" s="14" t="str">
        <x:v>High</x:v>
      </x:c>
      <x:c r="Q33" s="14" t="str">
        <x:v>MHL-107</x:v>
      </x:c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 ht="44" customHeight="1">
      <x:c r="A34" s="14" t="str">
        <x:v>MHL-111</x:v>
      </x:c>
      <x:c r="B34" s="14" t="str">
        <x:v>7.2</x:v>
      </x:c>
      <x:c r="C34" s="14" t="str">
        <x:v>P1</x:v>
      </x:c>
      <x:c r="D34" s="14" t="str">
        <x:v>Metadata</x:v>
      </x:c>
      <x:c r="E34" s="14" t="str">
        <x:v>Batch metadata editor</x:v>
      </x:c>
      <x:c r="F34" s="14" t="str">
        <x:v>myhomelib-ui; myhomelib-application</x:v>
      </x:c>
      <x:c r="G34" s="14" t="str">
        <x:v>BatchMetadataEditUseCase</x:v>
      </x:c>
      <x:c r="H34" s="14" t="str">
        <x:v>Для бібліотек 100k+ потрібні масові зміни.</x:v>
      </x:c>
      <x:c r="I34" s="14" t="str">
        <x:v>Bulk set/clear, regex replace, trim, capitalization, language, genre, series, tags; preview.</x:v>
      </x:c>
      <x:c r="J34" s="14" t="str">
        <x:v>Операції працюють на 10k+ selected; preview sample; cancel; background progress; audit/undo.</x:v>
      </x:c>
      <x:c r="K34" s="14" t="str">
        <x:v>Integration + benchmark</x:v>
      </x:c>
      <x:c r="L34" s="14" t="str">
        <x:v>XL</x:v>
      </x:c>
      <x:c r="M34" s="14" t="n">
        <x:v>13</x:v>
      </x:c>
      <x:c r="N34" s="14" t="str">
        <x:v>Frontend/Backend</x:v>
      </x:c>
      <x:c r="O34" s="14" t="str">
        <x:v>Не розпочато</x:v>
      </x:c>
      <x:c r="P34" s="14" t="str">
        <x:v>High</x:v>
      </x:c>
      <x:c r="Q34" s="14" t="str">
        <x:v>—</x:v>
      </x:c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 ht="44" customHeight="1">
      <x:c r="A35" s="14" t="str">
        <x:v>MHL-112</x:v>
      </x:c>
      <x:c r="B35" s="14" t="str">
        <x:v>7.2</x:v>
      </x:c>
      <x:c r="C35" s="14" t="str">
        <x:v>P1</x:v>
      </x:c>
      <x:c r="D35" s="14" t="str">
        <x:v>Undo</x:v>
      </x:c>
      <x:c r="E35" s="14" t="str">
        <x:v>Operation history / Undo для масових змін</x:v>
      </x:c>
      <x:c r="F35" s="14" t="str">
        <x:v>myhomelib-application; myhomelib-infrastructure</x:v>
      </x:c>
      <x:c r="G35" s="14" t="str">
        <x:v>Command history</x:v>
      </x:c>
      <x:c r="H35" s="14" t="str">
        <x:v>Merge і batch-edit мають бути безпечними.</x:v>
      </x:c>
      <x:c r="I35" s="14" t="str">
        <x:v>Зберігати reversible change set для metadata/merge; configurable retention.</x:v>
      </x:c>
      <x:c r="J35" s="14" t="str">
        <x:v>Undo повертає попередні metadata/artifact links; restart-safe для останніх операцій.</x:v>
      </x:c>
      <x:c r="K35" s="14" t="str">
        <x:v>Integration</x:v>
      </x:c>
      <x:c r="L35" s="14" t="str">
        <x:v>L</x:v>
      </x:c>
      <x:c r="M35" s="14" t="n">
        <x:v>8</x:v>
      </x:c>
      <x:c r="N35" s="14" t="str">
        <x:v>Backend</x:v>
      </x:c>
      <x:c r="O35" s="14" t="str">
        <x:v>Не розпочато</x:v>
      </x:c>
      <x:c r="P35" s="14" t="str">
        <x:v>High</x:v>
      </x:c>
      <x:c r="Q35" s="14" t="str">
        <x:v>MHL-106,MHL-111</x:v>
      </x:c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 ht="44" customHeight="1">
      <x:c r="A36" s="14" t="str">
        <x:v>MHL-113</x:v>
      </x:c>
      <x:c r="B36" s="14" t="str">
        <x:v>7.2</x:v>
      </x:c>
      <x:c r="C36" s="14" t="str">
        <x:v>P2</x:v>
      </x:c>
      <x:c r="D36" s="14" t="str">
        <x:v>Automation</x:v>
      </x:c>
      <x:c r="E36" s="14" t="str">
        <x:v>Folder Watcher</x:v>
      </x:c>
      <x:c r="F36" s="14" t="str">
        <x:v>myhomelib-infrastructure; myhomelib-ui</x:v>
      </x:c>
      <x:c r="G36" s="14" t="str">
        <x:v>File watcher adapter; settings</x:v>
      </x:c>
      <x:c r="H36" s="14" t="str">
        <x:v>Автоматичний імпорт з incoming folders зменшує ручну роботу.</x:v>
      </x:c>
      <x:c r="I36" s="14" t="str">
        <x:v>WatchService + debounce + stability check + duplicate detection + background import.</x:v>
      </x:c>
      <x:c r="J36" s="14" t="str">
        <x:v>Файл не імпортується до завершення копіювання; duplicates не дублюються; watcher resume після restart.</x:v>
      </x:c>
      <x:c r="K36" s="14" t="str">
        <x:v>Integration + filesystem tests</x:v>
      </x:c>
      <x:c r="L36" s="14" t="str">
        <x:v>L</x:v>
      </x:c>
      <x:c r="M36" s="14" t="n">
        <x:v>8</x:v>
      </x:c>
      <x:c r="N36" s="14" t="str">
        <x:v>Backend</x:v>
      </x:c>
      <x:c r="O36" s="14" t="str">
        <x:v>Не розпочато</x:v>
      </x:c>
      <x:c r="P36" s="14" t="str">
        <x:v>Medium</x:v>
      </x:c>
      <x:c r="Q36" s="14" t="str">
        <x:v>MHL-104</x:v>
      </x:c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 ht="44" customHeight="1">
      <x:c r="A37" s="14" t="str">
        <x:v>MHL-114</x:v>
      </x:c>
      <x:c r="B37" s="14" t="str">
        <x:v>7.2</x:v>
      </x:c>
      <x:c r="C37" s="14" t="str">
        <x:v>P2</x:v>
      </x:c>
      <x:c r="D37" s="14" t="str">
        <x:v>Smart Library</x:v>
      </x:c>
      <x:c r="E37" s="14" t="str">
        <x:v>Smart Collections v1</x:v>
      </x:c>
      <x:c r="F37" s="14" t="str">
        <x:v>myhomelib-application; myhomelib-ui</x:v>
      </x:c>
      <x:c r="G37" s="14" t="str">
        <x:v>Saved search / smart filters</x:v>
      </x:c>
      <x:c r="H37" s="14" t="str">
        <x:v>Saved searches можна розвинути в динамічні бібліотеки.</x:v>
      </x:c>
      <x:c r="I37" s="14" t="str">
        <x:v>AND/OR rules: metadata, progress, rating, year, language, format; save/pin/sort/limit.</x:v>
      </x:c>
      <x:c r="J37" s="14" t="str">
        <x:v>Collection recalculates dynamically; rule builder validates types; 500k library target performance documented.</x:v>
      </x:c>
      <x:c r="K37" s="14" t="str">
        <x:v>Integration + performance</x:v>
      </x:c>
      <x:c r="L37" s="14" t="str">
        <x:v>L</x:v>
      </x:c>
      <x:c r="M37" s="14" t="n">
        <x:v>8</x:v>
      </x:c>
      <x:c r="N37" s="14" t="str">
        <x:v>Frontend/Backend</x:v>
      </x:c>
      <x:c r="O37" s="14" t="str">
        <x:v>Не розпочато</x:v>
      </x:c>
      <x:c r="P37" s="14" t="str">
        <x:v>Medium</x:v>
      </x:c>
      <x:c r="Q37" s="14" t="str">
        <x:v>Existing saved searches</x:v>
      </x:c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 ht="44" customHeight="1">
      <x:c r="A38" s="14" t="str">
        <x:v>MHL-115</x:v>
      </x:c>
      <x:c r="B38" s="14" t="str">
        <x:v>7.2</x:v>
      </x:c>
      <x:c r="C38" s="14" t="str">
        <x:v>P3</x:v>
      </x:c>
      <x:c r="D38" s="14" t="str">
        <x:v>Metadata</x:v>
      </x:c>
      <x:c r="E38" s="14" t="str">
        <x:v>Custom fields foundation</x:v>
      </x:c>
      <x:c r="F38" s="14" t="str">
        <x:v>myhomelib-domain; myhomelib-infrastructure; myhomelib-ui</x:v>
      </x:c>
      <x:c r="G38" s="14" t="str">
        <x:v>CustomFieldDefinition/Value</x:v>
      </x:c>
      <x:c r="H38" s="14" t="str">
        <x:v>Power users потребують власних metadata.</x:v>
      </x:c>
      <x:c r="I38" s="14" t="str">
        <x:v>Types: text/number/bool/date/enum; schema + values + filtering.</x:v>
      </x:c>
      <x:c r="J38" s="14" t="str">
        <x:v>Field create/edit/delete policy clear; values indexed/filterable; backup/restore handles them.</x:v>
      </x:c>
      <x:c r="K38" s="14" t="str">
        <x:v>Migration + UI</x:v>
      </x:c>
      <x:c r="L38" s="14" t="str">
        <x:v>XL</x:v>
      </x:c>
      <x:c r="M38" s="14" t="n">
        <x:v>13</x:v>
      </x:c>
      <x:c r="N38" s="14" t="str">
        <x:v>Backend/Frontend</x:v>
      </x:c>
      <x:c r="O38" s="14" t="str">
        <x:v>Не розпочато</x:v>
      </x:c>
      <x:c r="P38" s="14" t="str">
        <x:v>Low</x:v>
      </x:c>
      <x:c r="Q38" s="14" t="str">
        <x:v>MHL-114</x:v>
      </x:c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 ht="44" customHeight="1">
      <x:c r="A39" s="14" t="str">
        <x:v>MHL-116</x:v>
      </x:c>
      <x:c r="B39" s="14" t="str">
        <x:v>7.2</x:v>
      </x:c>
      <x:c r="C39" s="14" t="str">
        <x:v>P2</x:v>
      </x:c>
      <x:c r="D39" s="14" t="str">
        <x:v>Integrity</x:v>
      </x:c>
      <x:c r="E39" s="14" t="str">
        <x:v>Artifact integrity/hash audit</x:v>
      </x:c>
      <x:c r="F39" s="14" t="str">
        <x:v>myhomelib-application; myhomelib-infrastructure</x:v>
      </x:c>
      <x:c r="G39" s="14" t="str">
        <x:v>LibraryHealthService</x:v>
      </x:c>
      <x:c r="H39" s="14" t="str">
        <x:v>Великі бібліотеки можуть містити missing/corrupt/moved files.</x:v>
      </x:c>
      <x:c r="I39" s="14" t="str">
        <x:v>Background verify: exists, size, hash, readable archive, artifact occurrence state.</x:v>
      </x:c>
      <x:c r="J39" s="14" t="str">
        <x:v>Report missing/corrupt/changed; rescan incremental; no automatic destructive repair.</x:v>
      </x:c>
      <x:c r="K39" s="14" t="str">
        <x:v>Integration + benchmark</x:v>
      </x:c>
      <x:c r="L39" s="14" t="str">
        <x:v>L</x:v>
      </x:c>
      <x:c r="M39" s="14" t="n">
        <x:v>8</x:v>
      </x:c>
      <x:c r="N39" s="14" t="str">
        <x:v>Backend</x:v>
      </x:c>
      <x:c r="O39" s="14" t="str">
        <x:v>Не розпочато</x:v>
      </x:c>
      <x:c r="P39" s="14" t="str">
        <x:v>Medium</x:v>
      </x:c>
      <x:c r="Q39" s="14" t="str">
        <x:v>MHL-101</x:v>
      </x:c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 ht="44" customHeight="1">
      <x:c r="A40" s="14" t="str">
        <x:v>MHL-117</x:v>
      </x:c>
      <x:c r="B40" s="14" t="str">
        <x:v>7.2</x:v>
      </x:c>
      <x:c r="C40" s="14" t="str">
        <x:v>P2</x:v>
      </x:c>
      <x:c r="D40" s="14" t="str">
        <x:v>Integrity / UI</x:v>
      </x:c>
      <x:c r="E40" s="14" t="str">
        <x:v>Library Health dashboard</x:v>
      </x:c>
      <x:c r="F40" s="14" t="str">
        <x:v>myhomelib-ui</x:v>
      </x:c>
      <x:c r="G40" s="14" t="str">
        <x:v>Health workspace</x:v>
      </x:c>
      <x:c r="H40" s="14" t="str">
        <x:v>Потрібно зробити integrity problems видимими користувачу.</x:v>
      </x:c>
      <x:c r="I40" s="14" t="str">
        <x:v>KPI: missing, corrupt, duplicates, metadata gaps, stale index, backup age; drill-down actions.</x:v>
      </x:c>
      <x:c r="J40" s="14" t="str">
        <x:v>Кожен KPI відкриває actionable list; refresh async; export report.</x:v>
      </x:c>
      <x:c r="K40" s="14" t="str">
        <x:v>UI integration</x:v>
      </x:c>
      <x:c r="L40" s="14" t="str">
        <x:v>M</x:v>
      </x:c>
      <x:c r="M40" s="14" t="n">
        <x:v>5</x:v>
      </x:c>
      <x:c r="N40" s="14" t="str">
        <x:v>Frontend</x:v>
      </x:c>
      <x:c r="O40" s="14" t="str">
        <x:v>Не розпочато</x:v>
      </x:c>
      <x:c r="P40" s="14" t="str">
        <x:v>Medium</x:v>
      </x:c>
      <x:c r="Q40" s="14" t="str">
        <x:v>MHL-104,MHL-116</x:v>
      </x:c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 ht="44" customHeight="1">
      <x:c r="A41" s="14" t="str">
        <x:v>MHL-201</x:v>
      </x:c>
      <x:c r="B41" s="14" t="str">
        <x:v>7.3</x:v>
      </x:c>
      <x:c r="C41" s="14" t="str">
        <x:v>P1</x:v>
      </x:c>
      <x:c r="D41" s="14" t="str">
        <x:v>Annotations</x:v>
      </x:c>
      <x:c r="E41" s="14" t="str">
        <x:v>Annotation domain model</x:v>
      </x:c>
      <x:c r="F41" s="14" t="str">
        <x:v>myhomelib-domain; myhomelib-application</x:v>
      </x:c>
      <x:c r="G41" s="14" t="str">
        <x:v>Highlight; Note; AnnotationAnchor</x:v>
      </x:c>
      <x:c r="H41" s="14" t="str">
        <x:v>Для highlights/notes потрібна стабільна модель, незалежна від renderer.</x:v>
      </x:c>
      <x:c r="I41" s="14" t="str">
        <x:v>Anchor: book/artifact/chapter/text quote/position; type, color, note, timestamps.</x:v>
      </x:c>
      <x:c r="J41" s="14" t="str">
        <x:v>Anchor survive reopen; модель serializable; artifact switch policy визначена.</x:v>
      </x:c>
      <x:c r="K41" s="14" t="str">
        <x:v>Unit</x:v>
      </x:c>
      <x:c r="L41" s="14" t="str">
        <x:v>L</x:v>
      </x:c>
      <x:c r="M41" s="14" t="n">
        <x:v>8</x:v>
      </x:c>
      <x:c r="N41" s="14" t="str">
        <x:v>Backend</x:v>
      </x:c>
      <x:c r="O41" s="14" t="str">
        <x:v>Не розпочато</x:v>
      </x:c>
      <x:c r="P41" s="14" t="str">
        <x:v>High</x:v>
      </x:c>
      <x:c r="Q41" s="14" t="str">
        <x:v>—</x:v>
      </x:c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 ht="44" customHeight="1">
      <x:c r="A42" s="14" t="str">
        <x:v>MHL-202</x:v>
      </x:c>
      <x:c r="B42" s="14" t="str">
        <x:v>7.3</x:v>
      </x:c>
      <x:c r="C42" s="14" t="str">
        <x:v>P1</x:v>
      </x:c>
      <x:c r="D42" s="14" t="str">
        <x:v>Annotations</x:v>
      </x:c>
      <x:c r="E42" s="14" t="str">
        <x:v>Persistence і migrations annotations</x:v>
      </x:c>
      <x:c r="F42" s="14" t="str">
        <x:v>myhomelib-infrastructure</x:v>
      </x:c>
      <x:c r="G42" s="14" t="str">
        <x:v>Flyway; repositories</x:v>
      </x:c>
      <x:c r="H42" s="14" t="str">
        <x:v>Annotations мають бути restart-safe і backup-safe.</x:v>
      </x:c>
      <x:c r="I42" s="14" t="str">
        <x:v>Таблиці highlights/notes/anchors; indexes; export in user-data transfer.</x:v>
      </x:c>
      <x:c r="J42" s="14" t="str">
        <x:v>Backup/restore roundtrip без втрат; migration tests; large annotation set acceptable.</x:v>
      </x:c>
      <x:c r="K42" s="14" t="str">
        <x:v>Integration</x:v>
      </x:c>
      <x:c r="L42" s="14" t="str">
        <x:v>M</x:v>
      </x:c>
      <x:c r="M42" s="14" t="n">
        <x:v>5</x:v>
      </x:c>
      <x:c r="N42" s="14" t="str">
        <x:v>Backend/DB</x:v>
      </x:c>
      <x:c r="O42" s="14" t="str">
        <x:v>Не розпочато</x:v>
      </x:c>
      <x:c r="P42" s="14" t="str">
        <x:v>High</x:v>
      </x:c>
      <x:c r="Q42" s="14" t="str">
        <x:v>MHL-201</x:v>
      </x:c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 ht="44" customHeight="1">
      <x:c r="A43" s="14" t="str">
        <x:v>MHL-203</x:v>
      </x:c>
      <x:c r="B43" s="14" t="str">
        <x:v>7.3</x:v>
      </x:c>
      <x:c r="C43" s="14" t="str">
        <x:v>P1</x:v>
      </x:c>
      <x:c r="D43" s="14" t="str">
        <x:v>Reader</x:v>
      </x:c>
      <x:c r="E43" s="14" t="str">
        <x:v>Text selection і highlight creation</x:v>
      </x:c>
      <x:c r="F43" s="14" t="str">
        <x:v>myhomelib-reader; myhomelib-ui</x:v>
      </x:c>
      <x:c r="G43" s="14" t="str">
        <x:v>ReaderCanvas; NewReaderWorkspaceController</x:v>
      </x:c>
      <x:c r="H43" s="14" t="str">
        <x:v>Reader має дозволяти надійно вибирати текст.</x:v>
      </x:c>
      <x:c r="I43" s="14" t="str">
        <x:v>Selection handles/keyboard selection; context action Highlight/Note; restore anchors.</x:v>
      </x:c>
      <x:c r="J43" s="14" t="str">
        <x:v>Highlight створюється, відображається після restart, не зсувається при типових layout changes.</x:v>
      </x:c>
      <x:c r="K43" s="14" t="str">
        <x:v>UI/E2E</x:v>
      </x:c>
      <x:c r="L43" s="14" t="str">
        <x:v>XL</x:v>
      </x:c>
      <x:c r="M43" s="14" t="n">
        <x:v>13</x:v>
      </x:c>
      <x:c r="N43" s="14" t="str">
        <x:v>Reader</x:v>
      </x:c>
      <x:c r="O43" s="14" t="str">
        <x:v>Не розпочато</x:v>
      </x:c>
      <x:c r="P43" s="14" t="str">
        <x:v>High</x:v>
      </x:c>
      <x:c r="Q43" s="14" t="str">
        <x:v>MHL-201,MHL-202</x:v>
      </x:c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 ht="44" customHeight="1">
      <x:c r="A44" s="14" t="str">
        <x:v>MHL-204</x:v>
      </x:c>
      <x:c r="B44" s="14" t="str">
        <x:v>7.3</x:v>
      </x:c>
      <x:c r="C44" s="14" t="str">
        <x:v>P1</x:v>
      </x:c>
      <x:c r="D44" s="14" t="str">
        <x:v>Annotations / UI</x:v>
      </x:c>
      <x:c r="E44" s="14" t="str">
        <x:v>Annotation Manager</x:v>
      </x:c>
      <x:c r="F44" s="14" t="str">
        <x:v>myhomelib-ui</x:v>
      </x:c>
      <x:c r="G44" s="14" t="str">
        <x:v>Annotations workspace</x:v>
      </x:c>
      <x:c r="H44" s="14" t="str">
        <x:v>Користувачу потрібен список усіх highlights/notes.</x:v>
      </x:c>
      <x:c r="I44" s="14" t="str">
        <x:v>Filter by book/type/color/tag/date; search; jump to location; edit/delete.</x:v>
      </x:c>
      <x:c r="J44" s="14" t="str">
        <x:v>Jump відкриває правильну книгу/позицію; bulk export; delete confirmation/undo.</x:v>
      </x:c>
      <x:c r="K44" s="14" t="str">
        <x:v>UI/E2E</x:v>
      </x:c>
      <x:c r="L44" s="14" t="str">
        <x:v>L</x:v>
      </x:c>
      <x:c r="M44" s="14" t="n">
        <x:v>8</x:v>
      </x:c>
      <x:c r="N44" s="14" t="str">
        <x:v>Frontend</x:v>
      </x:c>
      <x:c r="O44" s="14" t="str">
        <x:v>Не розпочато</x:v>
      </x:c>
      <x:c r="P44" s="14" t="str">
        <x:v>High</x:v>
      </x:c>
      <x:c r="Q44" s="14" t="str">
        <x:v>MHL-203</x:v>
      </x:c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 ht="44" customHeight="1">
      <x:c r="A45" s="14" t="str">
        <x:v>MHL-205</x:v>
      </x:c>
      <x:c r="B45" s="14" t="str">
        <x:v>7.3</x:v>
      </x:c>
      <x:c r="C45" s="14" t="str">
        <x:v>P2</x:v>
      </x:c>
      <x:c r="D45" s="14" t="str">
        <x:v>Annotations</x:v>
      </x:c>
      <x:c r="E45" s="14" t="str">
        <x:v>Export annotations</x:v>
      </x:c>
      <x:c r="F45" s="14" t="str">
        <x:v>myhomelib-application</x:v>
      </x:c>
      <x:c r="G45" s="14" t="str">
        <x:v>Markdown/JSON/HTML exporters</x:v>
      </x:c>
      <x:c r="H45" s="14" t="str">
        <x:v>Annotations корисні поза програмою.</x:v>
      </x:c>
      <x:c r="I45" s="14" t="str">
        <x:v>Export with book metadata, chapter, quote, note, timestamp; configurable template.</x:v>
      </x:c>
      <x:c r="J45" s="14" t="str">
        <x:v>Markdown/JSON valid; UTF-8; selected/all books; deterministic output.</x:v>
      </x:c>
      <x:c r="K45" s="14" t="str">
        <x:v>Unit</x:v>
      </x:c>
      <x:c r="L45" s="14" t="str">
        <x:v>M</x:v>
      </x:c>
      <x:c r="M45" s="14" t="n">
        <x:v>5</x:v>
      </x:c>
      <x:c r="N45" s="14" t="str">
        <x:v>Backend</x:v>
      </x:c>
      <x:c r="O45" s="14" t="str">
        <x:v>Не розпочато</x:v>
      </x:c>
      <x:c r="P45" s="14" t="str">
        <x:v>Medium</x:v>
      </x:c>
      <x:c r="Q45" s="14" t="str">
        <x:v>MHL-204</x:v>
      </x:c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 ht="44" customHeight="1">
      <x:c r="A46" s="14" t="str">
        <x:v>MHL-206</x:v>
      </x:c>
      <x:c r="B46" s="14" t="str">
        <x:v>7.3</x:v>
      </x:c>
      <x:c r="C46" s="14" t="str">
        <x:v>P1</x:v>
      </x:c>
      <x:c r="D46" s="14" t="str">
        <x:v>Reader / PDF</x:v>
      </x:c>
      <x:c r="E46" s="14" t="str">
        <x:v>PDF Reader v1</x:v>
      </x:c>
      <x:c r="F46" s="14" t="str">
        <x:v>myhomelib-reader</x:v>
      </x:c>
      <x:c r="G46" s="14" t="str">
        <x:v>Новий PDF renderer adapter</x:v>
      </x:c>
      <x:c r="H46" s="14" t="str">
        <x:v>PDF каталогізується, але потрібен повноцінний internal reader.</x:v>
      </x:c>
      <x:c r="I46" s="14" t="str">
        <x:v>Pages, zoom, fit width/page, continuous, thumbnails, remembered position.</x:v>
      </x:c>
      <x:c r="J46" s="14" t="str">
        <x:v>Відкриває typical PDFs; position restore; zoom smooth; large PDF does not freeze UI.</x:v>
      </x:c>
      <x:c r="K46" s="14" t="str">
        <x:v>E2E + performance</x:v>
      </x:c>
      <x:c r="L46" s="14" t="str">
        <x:v>XL</x:v>
      </x:c>
      <x:c r="M46" s="14" t="n">
        <x:v>13</x:v>
      </x:c>
      <x:c r="N46" s="14" t="str">
        <x:v>Reader</x:v>
      </x:c>
      <x:c r="O46" s="14" t="str">
        <x:v>Не розпочато</x:v>
      </x:c>
      <x:c r="P46" s="14" t="str">
        <x:v>High</x:v>
      </x:c>
      <x:c r="Q46" s="14" t="str">
        <x:v>FormatRegistry</x:v>
      </x:c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 ht="44" customHeight="1">
      <x:c r="A47" s="14" t="str">
        <x:v>MHL-207</x:v>
      </x:c>
      <x:c r="B47" s="14" t="str">
        <x:v>7.3</x:v>
      </x:c>
      <x:c r="C47" s="14" t="str">
        <x:v>P2</x:v>
      </x:c>
      <x:c r="D47" s="14" t="str">
        <x:v>Reader / PDF</x:v>
      </x:c>
      <x:c r="E47" s="14" t="str">
        <x:v>PDF TOC, search, bookmarks, annotations</x:v>
      </x:c>
      <x:c r="F47" s="14" t="str">
        <x:v>myhomelib-reader</x:v>
      </x:c>
      <x:c r="G47" s="14" t="str">
        <x:v>PDF reader features</x:v>
      </x:c>
      <x:c r="H47" s="14" t="str">
        <x:v>Базовий PDF reader потребує навігації.</x:v>
      </x:c>
      <x:c r="I47" s="14" t="str">
        <x:v>Outline/TOC, text search, page bookmarks; інтеграція annotations де text layer доступний.</x:v>
      </x:c>
      <x:c r="J47" s="14" t="str">
        <x:v>Search shows page hits/snippets; TOC jump correct; scanned PDF degrades gracefully.</x:v>
      </x:c>
      <x:c r="K47" s="14" t="str">
        <x:v>E2E</x:v>
      </x:c>
      <x:c r="L47" s="14" t="str">
        <x:v>L</x:v>
      </x:c>
      <x:c r="M47" s="14" t="n">
        <x:v>8</x:v>
      </x:c>
      <x:c r="N47" s="14" t="str">
        <x:v>Reader</x:v>
      </x:c>
      <x:c r="O47" s="14" t="str">
        <x:v>Не розпочато</x:v>
      </x:c>
      <x:c r="P47" s="14" t="str">
        <x:v>Medium</x:v>
      </x:c>
      <x:c r="Q47" s="14" t="str">
        <x:v>MHL-206,MHL-201</x:v>
      </x:c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 ht="44" customHeight="1">
      <x:c r="A48" s="14" t="str">
        <x:v>MHL-208</x:v>
      </x:c>
      <x:c r="B48" s="14" t="str">
        <x:v>7.3</x:v>
      </x:c>
      <x:c r="C48" s="14" t="str">
        <x:v>P2</x:v>
      </x:c>
      <x:c r="D48" s="14" t="str">
        <x:v>Reader / Comics</x:v>
      </x:c>
      <x:c r="E48" s="14" t="str">
        <x:v>Comic Reader CBZ/CBR</x:v>
      </x:c>
      <x:c r="F48" s="14" t="str">
        <x:v>myhomelib-reader</x:v>
      </x:c>
      <x:c r="G48" s="14" t="str">
        <x:v>Comic renderer</x:v>
      </x:c>
      <x:c r="H48" s="14" t="str">
        <x:v>CBZ/CBR підтримуються як документи, але потрібен спеціалізований UX.</x:v>
      </x:c>
      <x:c r="I48" s="14" t="str">
        <x:v>Page fit, width fit, dual page, RTL manga, continuous scroll, thumbnails.</x:v>
      </x:c>
      <x:c r="J48" s="14" t="str">
        <x:v>Large CBZ opens lazily; ordering correct; RTL toggle works; progress persists.</x:v>
      </x:c>
      <x:c r="K48" s="14" t="str">
        <x:v>E2E</x:v>
      </x:c>
      <x:c r="L48" s="14" t="str">
        <x:v>L</x:v>
      </x:c>
      <x:c r="M48" s="14" t="n">
        <x:v>8</x:v>
      </x:c>
      <x:c r="N48" s="14" t="str">
        <x:v>Reader</x:v>
      </x:c>
      <x:c r="O48" s="14" t="str">
        <x:v>Не розпочато</x:v>
      </x:c>
      <x:c r="P48" s="14" t="str">
        <x:v>Medium</x:v>
      </x:c>
      <x:c r="Q48" s="14" t="str">
        <x:v>FormatRegistry</x:v>
      </x:c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 ht="44" customHeight="1">
      <x:c r="A49" s="14" t="str">
        <x:v>MHL-209</x:v>
      </x:c>
      <x:c r="B49" s="14" t="str">
        <x:v>7.3</x:v>
      </x:c>
      <x:c r="C49" s="14" t="str">
        <x:v>P2</x:v>
      </x:c>
      <x:c r="D49" s="14" t="str">
        <x:v>Reader / TTS</x:v>
      </x:c>
      <x:c r="E49" s="14" t="str">
        <x:v>System TTS / Read Aloud</x:v>
      </x:c>
      <x:c r="F49" s="14" t="str">
        <x:v>myhomelib-reader; myhomelib-infrastructure</x:v>
      </x:c>
      <x:c r="G49" s="14" t="str">
        <x:v>TtsProvider; platform implementation</x:v>
      </x:c>
      <x:c r="H49" s="14" t="str">
        <x:v>TTS є очікуваною reader-функцією й accessibility feature.</x:v>
      </x:c>
      <x:c r="I49" s="14" t="str">
        <x:v>System voices, speed, pause/resume, sentence highlight; provider SPI.</x:v>
      </x:c>
      <x:c r="J49" s="14" t="str">
        <x:v>Available system voices shown; current sentence highlighted; resume after pause; no UI block.</x:v>
      </x:c>
      <x:c r="K49" s="14" t="str">
        <x:v>Platform integration</x:v>
      </x:c>
      <x:c r="L49" s="14" t="str">
        <x:v>L</x:v>
      </x:c>
      <x:c r="M49" s="14" t="n">
        <x:v>8</x:v>
      </x:c>
      <x:c r="N49" s="14" t="str">
        <x:v>Reader</x:v>
      </x:c>
      <x:c r="O49" s="14" t="str">
        <x:v>Не розпочато</x:v>
      </x:c>
      <x:c r="P49" s="14" t="str">
        <x:v>Medium</x:v>
      </x:c>
      <x:c r="Q49" s="14" t="str">
        <x:v>—</x:v>
      </x:c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 ht="44" customHeight="1">
      <x:c r="A50" s="14" t="str">
        <x:v>MHL-210</x:v>
      </x:c>
      <x:c r="B50" s="14" t="str">
        <x:v>7.3</x:v>
      </x:c>
      <x:c r="C50" s="14" t="str">
        <x:v>P3</x:v>
      </x:c>
      <x:c r="D50" s="14" t="str">
        <x:v>Reader / Dictionary</x:v>
      </x:c>
      <x:c r="E50" s="14" t="str">
        <x:v>DictionaryProvider SPI</x:v>
      </x:c>
      <x:c r="F50" s="14" t="str">
        <x:v>myhomelib-application; myhomelib-reader</x:v>
      </x:c>
      <x:c r="G50" s="14" t="str">
        <x:v>DictionaryProvider</x:v>
      </x:c>
      <x:c r="H50" s="14" t="str">
        <x:v>Контекстний словник підсилює reader.</x:v>
      </x:c>
      <x:c r="I50" s="14" t="str">
        <x:v>Local dictionary first; provider abstraction for Wiktionary/custom.</x:v>
      </x:c>
      <x:c r="J50" s="14" t="str">
        <x:v>Selected word lookup without leaving reader; offline provider works; failure non-blocking.</x:v>
      </x:c>
      <x:c r="K50" s="14" t="str">
        <x:v>Contract tests</x:v>
      </x:c>
      <x:c r="L50" s="14" t="str">
        <x:v>M</x:v>
      </x:c>
      <x:c r="M50" s="14" t="n">
        <x:v>5</x:v>
      </x:c>
      <x:c r="N50" s="14" t="str">
        <x:v>Reader</x:v>
      </x:c>
      <x:c r="O50" s="14" t="str">
        <x:v>Не розпочато</x:v>
      </x:c>
      <x:c r="P50" s="14" t="str">
        <x:v>Low</x:v>
      </x:c>
      <x:c r="Q50" s="14" t="str">
        <x:v>MHL-203</x:v>
      </x:c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 ht="44" customHeight="1">
      <x:c r="A51" s="14" t="str">
        <x:v>MHL-211</x:v>
      </x:c>
      <x:c r="B51" s="14" t="str">
        <x:v>7.3</x:v>
      </x:c>
      <x:c r="C51" s="14" t="str">
        <x:v>P3</x:v>
      </x:c>
      <x:c r="D51" s="14" t="str">
        <x:v>Reader / Translation</x:v>
      </x:c>
      <x:c r="E51" s="14" t="str">
        <x:v>TranslationProvider SPI</x:v>
      </x:c>
      <x:c r="F51" s="14" t="str">
        <x:v>myhomelib-application; myhomelib-reader</x:v>
      </x:c>
      <x:c r="G51" s="14" t="str">
        <x:v>TranslationProvider</x:v>
      </x:c>
      <x:c r="H51" s="14" t="str">
        <x:v>Переклад виділеного тексту має бути provider-neutral.</x:v>
      </x:c>
      <x:c r="I51" s="14" t="str">
        <x:v>Local/custom/DeepL/Google adapters через SPI; explicit privacy notice for cloud providers.</x:v>
      </x:c>
      <x:c r="J51" s="14" t="str">
        <x:v>Provider switch; timeout/cancel; text not sent without explicit action.</x:v>
      </x:c>
      <x:c r="K51" s="14" t="str">
        <x:v>Contract tests</x:v>
      </x:c>
      <x:c r="L51" s="14" t="str">
        <x:v>M</x:v>
      </x:c>
      <x:c r="M51" s="14" t="n">
        <x:v>5</x:v>
      </x:c>
      <x:c r="N51" s="14" t="str">
        <x:v>Reader</x:v>
      </x:c>
      <x:c r="O51" s="14" t="str">
        <x:v>Не розпочато</x:v>
      </x:c>
      <x:c r="P51" s="14" t="str">
        <x:v>Low</x:v>
      </x:c>
      <x:c r="Q51" s="14" t="str">
        <x:v>MHL-203</x:v>
      </x:c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 ht="44" customHeight="1">
      <x:c r="A52" s="14" t="str">
        <x:v>MHL-212</x:v>
      </x:c>
      <x:c r="B52" s="14" t="str">
        <x:v>7.3</x:v>
      </x:c>
      <x:c r="C52" s="14" t="str">
        <x:v>P1</x:v>
      </x:c>
      <x:c r="D52" s="14" t="str">
        <x:v>Accessibility</x:v>
      </x:c>
      <x:c r="E52" s="14" t="str">
        <x:v>Повний accessibility audit</x:v>
      </x:c>
      <x:c r="F52" s="14" t="str">
        <x:v>myhomelib-ui; myhomelib-reader</x:v>
      </x:c>
      <x:c r="G52" s="14" t="str">
        <x:v>All critical UI</x:v>
      </x:c>
      <x:c r="H52" s="14" t="str">
        <x:v>Потрібна системна перевірка keyboard/screen reader/high contrast/scaling.</x:v>
      </x:c>
      <x:c r="I52" s="14" t="str">
        <x:v>WCAG-inspired desktop checklist; accessible names; focus order; keyboard-only; scalable fonts; reduced motion.</x:v>
      </x:c>
      <x:c r="J52" s="14" t="str">
        <x:v>Critical journeys executable keyboard-only; controls have accessible names; contrast issues P0/P1 closed.</x:v>
      </x:c>
      <x:c r="K52" s="14" t="str">
        <x:v>Manual + automated where possible</x:v>
      </x:c>
      <x:c r="L52" s="14" t="str">
        <x:v>L</x:v>
      </x:c>
      <x:c r="M52" s="14" t="n">
        <x:v>8</x:v>
      </x:c>
      <x:c r="N52" s="14" t="str">
        <x:v>QA/Frontend</x:v>
      </x:c>
      <x:c r="O52" s="14" t="str">
        <x:v>Не розпочато</x:v>
      </x:c>
      <x:c r="P52" s="14" t="str">
        <x:v>High</x:v>
      </x:c>
      <x:c r="Q52" s="14" t="str">
        <x:v>Windows DPI work</x:v>
      </x:c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 ht="44" customHeight="1">
      <x:c r="A53" s="14" t="str">
        <x:v>MHL-213</x:v>
      </x:c>
      <x:c r="B53" s="14" t="str">
        <x:v>7.3</x:v>
      </x:c>
      <x:c r="C53" s="14" t="str">
        <x:v>P2</x:v>
      </x:c>
      <x:c r="D53" s="14" t="str">
        <x:v>Reader QA</x:v>
      </x:c>
      <x:c r="E53" s="14" t="str">
        <x:v>Reader regression suite</x:v>
      </x:c>
      <x:c r="F53" s="14" t="str">
        <x:v>myhomelib-reader; myhomelib-e2e-tests</x:v>
      </x:c>
      <x:c r="G53" s="14" t="str">
        <x:v>Reader E2E corpus</x:v>
      </x:c>
      <x:c r="H53" s="14" t="str">
        <x:v>Reader стає складнішим і потребує corpus-based regression.</x:v>
      </x:c>
      <x:c r="I53" s="14" t="str">
        <x:v>Corpus FB2/EPUB/PDF/CBZ with malformed/big/unicode cases; screenshots where stable.</x:v>
      </x:c>
      <x:c r="J53" s="14" t="str">
        <x:v>Critical corpus opens; progress/bookmarks/annotations persist; no UI thread hangs.</x:v>
      </x:c>
      <x:c r="K53" s="14" t="str">
        <x:v>E2E/performance</x:v>
      </x:c>
      <x:c r="L53" s="14" t="str">
        <x:v>L</x:v>
      </x:c>
      <x:c r="M53" s="14" t="n">
        <x:v>8</x:v>
      </x:c>
      <x:c r="N53" s="14" t="str">
        <x:v>QA</x:v>
      </x:c>
      <x:c r="O53" s="14" t="str">
        <x:v>Не розпочато</x:v>
      </x:c>
      <x:c r="P53" s="14" t="str">
        <x:v>Medium</x:v>
      </x:c>
      <x:c r="Q53" s="14" t="str">
        <x:v>MHL-206..212</x:v>
      </x:c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 ht="44" customHeight="1">
      <x:c r="A54" s="14" t="str">
        <x:v>MHL-301</x:v>
      </x:c>
      <x:c r="B54" s="14" t="str">
        <x:v>7.4</x:v>
      </x:c>
      <x:c r="C54" s="14" t="str">
        <x:v>P1</x:v>
      </x:c>
      <x:c r="D54" s="14" t="str">
        <x:v>Search</x:v>
      </x:c>
      <x:c r="E54" s="14" t="str">
        <x:v>ContentExtractor SPI</x:v>
      </x:c>
      <x:c r="F54" s="14" t="str">
        <x:v>myhomelib-application</x:v>
      </x:c>
      <x:c r="G54" s="14" t="str">
        <x:v>ContentExtractor port</x:v>
      </x:c>
      <x:c r="H54" s="14" t="str">
        <x:v>Full-text contents search потребує format-neutral extraction.</x:v>
      </x:c>
      <x:c r="I54" s="14" t="str">
        <x:v>SPI: supports(format), extract chapters/text/anchors; cancellation/progress.</x:v>
      </x:c>
      <x:c r="J54" s="14" t="str">
        <x:v>FB2/EPUB/TXT adapters pass contract tests; unsupported returns typed result.</x:v>
      </x:c>
      <x:c r="K54" s="14" t="str">
        <x:v>Contract tests</x:v>
      </x:c>
      <x:c r="L54" s="14" t="str">
        <x:v>M</x:v>
      </x:c>
      <x:c r="M54" s="14" t="n">
        <x:v>5</x:v>
      </x:c>
      <x:c r="N54" s="14" t="str">
        <x:v>Architecture</x:v>
      </x:c>
      <x:c r="O54" s="14" t="str">
        <x:v>Не розпочато</x:v>
      </x:c>
      <x:c r="P54" s="14" t="str">
        <x:v>High</x:v>
      </x:c>
      <x:c r="Q54" s="14" t="str">
        <x:v>FormatRegistry</x:v>
      </x:c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 ht="44" customHeight="1">
      <x:c r="A55" s="14" t="str">
        <x:v>MHL-302</x:v>
      </x:c>
      <x:c r="B55" s="14" t="str">
        <x:v>7.4</x:v>
      </x:c>
      <x:c r="C55" s="14" t="str">
        <x:v>P1</x:v>
      </x:c>
      <x:c r="D55" s="14" t="str">
        <x:v>Search</x:v>
      </x:c>
      <x:c r="E55" s="14" t="str">
        <x:v>Окремий Lucene Content Index</x:v>
      </x:c>
      <x:c r="F55" s="14" t="str">
        <x:v>myhomelib-infrastructure</x:v>
      </x:c>
      <x:c r="G55" s="14" t="str">
        <x:v>New content-index module/service</x:v>
      </x:c>
      <x:c r="H55" s="14" t="str">
        <x:v>Метадані та повний текст мають різний lifecycle й масштаб.</x:v>
      </x:c>
      <x:c r="I55" s="14" t="str">
        <x:v>Окремий index з bookId/artifactId/chapter/text/positions; versioning schema.</x:v>
      </x:c>
      <x:c r="J55" s="14" t="str">
        <x:v>Catalogue index performance не деградує; content index independently rebuildable.</x:v>
      </x:c>
      <x:c r="K55" s="14" t="str">
        <x:v>Integration + benchmark</x:v>
      </x:c>
      <x:c r="L55" s="14" t="str">
        <x:v>XL</x:v>
      </x:c>
      <x:c r="M55" s="14" t="n">
        <x:v>13</x:v>
      </x:c>
      <x:c r="N55" s="14" t="str">
        <x:v>Search</x:v>
      </x:c>
      <x:c r="O55" s="14" t="str">
        <x:v>Не розпочато</x:v>
      </x:c>
      <x:c r="P55" s="14" t="str">
        <x:v>High</x:v>
      </x:c>
      <x:c r="Q55" s="14" t="str">
        <x:v>MHL-301</x:v>
      </x:c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 ht="44" customHeight="1">
      <x:c r="A56" s="14" t="str">
        <x:v>MHL-303</x:v>
      </x:c>
      <x:c r="B56" s="14" t="str">
        <x:v>7.4</x:v>
      </x:c>
      <x:c r="C56" s="14" t="str">
        <x:v>P1</x:v>
      </x:c>
      <x:c r="D56" s="14" t="str">
        <x:v>Search</x:v>
      </x:c>
      <x:c r="E56" s="14" t="str">
        <x:v>Background indexing queue з resume</x:v>
      </x:c>
      <x:c r="F56" s="14" t="str">
        <x:v>myhomelib-application; myhomelib-infrastructure</x:v>
      </x:c>
      <x:c r="G56" s="14" t="str">
        <x:v>IndexingQueueService</x:v>
      </x:c>
      <x:c r="H56" s="14" t="str">
        <x:v>Індекс 500k книг може будуватися довго; процес має бути відновлюваним.</x:v>
      </x:c>
      <x:c r="I56" s="14" t="str">
        <x:v>Priority queue, checkpoint, pause/resume/cancel, CPU/IO limits.</x:v>
      </x:c>
      <x:c r="J56" s="14" t="str">
        <x:v>Restart продовжує з checkpoint; UI responsive; можна обмежити ресурси.</x:v>
      </x:c>
      <x:c r="K56" s="14" t="str">
        <x:v>Integration + soak</x:v>
      </x:c>
      <x:c r="L56" s="14" t="str">
        <x:v>L</x:v>
      </x:c>
      <x:c r="M56" s="14" t="n">
        <x:v>8</x:v>
      </x:c>
      <x:c r="N56" s="14" t="str">
        <x:v>Search</x:v>
      </x:c>
      <x:c r="O56" s="14" t="str">
        <x:v>Не розпочато</x:v>
      </x:c>
      <x:c r="P56" s="14" t="str">
        <x:v>High</x:v>
      </x:c>
      <x:c r="Q56" s="14" t="str">
        <x:v>MHL-302</x:v>
      </x:c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 ht="44" customHeight="1">
      <x:c r="A57" s="14" t="str">
        <x:v>MHL-304</x:v>
      </x:c>
      <x:c r="B57" s="14" t="str">
        <x:v>7.4</x:v>
      </x:c>
      <x:c r="C57" s="14" t="str">
        <x:v>P1</x:v>
      </x:c>
      <x:c r="D57" s="14" t="str">
        <x:v>Search / UI</x:v>
      </x:c>
      <x:c r="E57" s="14" t="str">
        <x:v>Search inside all books</x:v>
      </x:c>
      <x:c r="F57" s="14" t="str">
        <x:v>myhomelib-ui; myhomelib-application</x:v>
      </x:c>
      <x:c r="G57" s="14" t="str">
        <x:v>Global content search workspace</x:v>
      </x:c>
      <x:c r="H57" s="14" t="str">
        <x:v>Користувач має шукати фразу по всій бібліотеці.</x:v>
      </x:c>
      <x:c r="I57" s="14" t="str">
        <x:v>Mode Metadata / Contents / Both; snippets, chapter, relevance, filters.</x:v>
      </x:c>
      <x:c r="J57" s="14" t="str">
        <x:v>Query повертає правильні snippets; click відкриває reader у знайденому місці; cancel instant.</x:v>
      </x:c>
      <x:c r="K57" s="14" t="str">
        <x:v>E2E</x:v>
      </x:c>
      <x:c r="L57" s="14" t="str">
        <x:v>L</x:v>
      </x:c>
      <x:c r="M57" s="14" t="n">
        <x:v>8</x:v>
      </x:c>
      <x:c r="N57" s="14" t="str">
        <x:v>Frontend/Search</x:v>
      </x:c>
      <x:c r="O57" s="14" t="str">
        <x:v>Не розпочато</x:v>
      </x:c>
      <x:c r="P57" s="14" t="str">
        <x:v>High</x:v>
      </x:c>
      <x:c r="Q57" s="14" t="str">
        <x:v>MHL-302</x:v>
      </x:c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 ht="44" customHeight="1">
      <x:c r="A58" s="14" t="str">
        <x:v>MHL-305</x:v>
      </x:c>
      <x:c r="B58" s="14" t="str">
        <x:v>7.4</x:v>
      </x:c>
      <x:c r="C58" s="14" t="str">
        <x:v>P2</x:v>
      </x:c>
      <x:c r="D58" s="14" t="str">
        <x:v>Search</x:v>
      </x:c>
      <x:c r="E58" s="14" t="str">
        <x:v>Index health/rebuild UI</x:v>
      </x:c>
      <x:c r="F58" s="14" t="str">
        <x:v>myhomelib-ui; myhomelib-infrastructure</x:v>
      </x:c>
      <x:c r="G58" s="14" t="str">
        <x:v>Index health service</x:v>
      </x:c>
      <x:c r="H58" s="14" t="str">
        <x:v>Великий індекс потребує діагностики.</x:v>
      </x:c>
      <x:c r="I58" s="14" t="str">
        <x:v>Status/version/size/document count/errors; rebuild metadata/content separately.</x:v>
      </x:c>
      <x:c r="J58" s="14" t="str">
        <x:v>Corrupt index detected; safe rebuild; no data loss; progress visible.</x:v>
      </x:c>
      <x:c r="K58" s="14" t="str">
        <x:v>Integration</x:v>
      </x:c>
      <x:c r="L58" s="14" t="str">
        <x:v>M</x:v>
      </x:c>
      <x:c r="M58" s="14" t="n">
        <x:v>5</x:v>
      </x:c>
      <x:c r="N58" s="14" t="str">
        <x:v>Search</x:v>
      </x:c>
      <x:c r="O58" s="14" t="str">
        <x:v>Не розпочато</x:v>
      </x:c>
      <x:c r="P58" s="14" t="str">
        <x:v>Medium</x:v>
      </x:c>
      <x:c r="Q58" s="14" t="str">
        <x:v>MHL-302</x:v>
      </x:c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 ht="44" customHeight="1">
      <x:c r="A59" s="14" t="str">
        <x:v>MHL-306</x:v>
      </x:c>
      <x:c r="B59" s="14" t="str">
        <x:v>7.4</x:v>
      </x:c>
      <x:c r="C59" s="14" t="str">
        <x:v>P2</x:v>
      </x:c>
      <x:c r="D59" s="14" t="str">
        <x:v>Search</x:v>
      </x:c>
      <x:c r="E59" s="14" t="str">
        <x:v>Search annotations</x:v>
      </x:c>
      <x:c r="F59" s="14" t="str">
        <x:v>myhomelib-infrastructure; myhomelib-ui</x:v>
      </x:c>
      <x:c r="G59" s="14" t="str">
        <x:v>Annotation index/query</x:v>
      </x:c>
      <x:c r="H59" s="14" t="str">
        <x:v>Нотатки користувача також мають бути searchable.</x:v>
      </x:c>
      <x:c r="I59" s="14" t="str">
        <x:v>Index note/highlight text окремо або field; filter by book/tag/date.</x:v>
      </x:c>
      <x:c r="J59" s="14" t="str">
        <x:v>Query знаходить annotations; permissions/local-only semantics preserved.</x:v>
      </x:c>
      <x:c r="K59" s="14" t="str">
        <x:v>Integration</x:v>
      </x:c>
      <x:c r="L59" s="14" t="str">
        <x:v>M</x:v>
      </x:c>
      <x:c r="M59" s="14" t="n">
        <x:v>5</x:v>
      </x:c>
      <x:c r="N59" s="14" t="str">
        <x:v>Search</x:v>
      </x:c>
      <x:c r="O59" s="14" t="str">
        <x:v>Не розпочато</x:v>
      </x:c>
      <x:c r="P59" s="14" t="str">
        <x:v>Medium</x:v>
      </x:c>
      <x:c r="Q59" s="14" t="str">
        <x:v>MHL-204</x:v>
      </x:c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 ht="44" customHeight="1">
      <x:c r="A60" s="14" t="str">
        <x:v>MHL-307</x:v>
      </x:c>
      <x:c r="B60" s="14" t="str">
        <x:v>7.4</x:v>
      </x:c>
      <x:c r="C60" s="14" t="str">
        <x:v>P2</x:v>
      </x:c>
      <x:c r="D60" s="14" t="str">
        <x:v>Performance</x:v>
      </x:c>
      <x:c r="E60" s="14" t="str">
        <x:v>Resource throttling для indexing</x:v>
      </x:c>
      <x:c r="F60" s="14" t="str">
        <x:v>myhomelib-application</x:v>
      </x:c>
      <x:c r="G60" s="14" t="str">
        <x:v>Performance settings</x:v>
      </x:c>
      <x:c r="H60" s="14" t="str">
        <x:v>Background full-text indexing не повинен робити desktop непридатним.</x:v>
      </x:c>
      <x:c r="I60" s="14" t="str">
        <x:v>Profiles: Eco/Balanced/Fast; CPU threads, IO rate, pause on battery option.</x:v>
      </x:c>
      <x:c r="J60" s="14" t="str">
        <x:v>Balanced profile не створює довгих UI freezes; settings persist; benchmark report.</x:v>
      </x:c>
      <x:c r="K60" s="14" t="str">
        <x:v>Performance</x:v>
      </x:c>
      <x:c r="L60" s="14" t="str">
        <x:v>M</x:v>
      </x:c>
      <x:c r="M60" s="14" t="n">
        <x:v>5</x:v>
      </x:c>
      <x:c r="N60" s="14" t="str">
        <x:v>Backend</x:v>
      </x:c>
      <x:c r="O60" s="14" t="str">
        <x:v>Не розпочато</x:v>
      </x:c>
      <x:c r="P60" s="14" t="str">
        <x:v>Medium</x:v>
      </x:c>
      <x:c r="Q60" s="14" t="str">
        <x:v>MHL-303</x:v>
      </x:c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 ht="44" customHeight="1">
      <x:c r="A61" s="14" t="str">
        <x:v>MHL-401</x:v>
      </x:c>
      <x:c r="B61" s="14" t="str">
        <x:v>7.5</x:v>
      </x:c>
      <x:c r="C61" s="14" t="str">
        <x:v>P1</x:v>
      </x:c>
      <x:c r="D61" s="14" t="str">
        <x:v>Sync</x:v>
      </x:c>
      <x:c r="E61" s="14" t="str">
        <x:v>Versioned sync data model</x:v>
      </x:c>
      <x:c r="F61" s="14" t="str">
        <x:v>myhomelib-domain; myhomelib-application</x:v>
      </x:c>
      <x:c r="G61" s="14" t="str">
        <x:v>SyncRecord/ChangeSet</x:v>
      </x:c>
      <x:c r="H61" s="14" t="str">
        <x:v>Для sync потрібні стабільні IDs, versions і conflict metadata.</x:v>
      </x:c>
      <x:c r="I61" s="14" t="str">
        <x:v>Version user-data entities: progress/bookmarks/annotations/ratings/groups/favorites/settings.</x:v>
      </x:c>
      <x:c r="J61" s="14" t="str">
        <x:v>Зміни мають stable ids, timestamps/version; delete tombstones; schema versioned.</x:v>
      </x:c>
      <x:c r="K61" s="14" t="str">
        <x:v>Unit</x:v>
      </x:c>
      <x:c r="L61" s="14" t="str">
        <x:v>L</x:v>
      </x:c>
      <x:c r="M61" s="14" t="n">
        <x:v>8</x:v>
      </x:c>
      <x:c r="N61" s="14" t="str">
        <x:v>Backend</x:v>
      </x:c>
      <x:c r="O61" s="14" t="str">
        <x:v>Не розпочато</x:v>
      </x:c>
      <x:c r="P61" s="14" t="str">
        <x:v>High</x:v>
      </x:c>
      <x:c r="Q61" s="14" t="str">
        <x:v>Annotations complete</x:v>
      </x:c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 ht="44" customHeight="1">
      <x:c r="A62" s="14" t="str">
        <x:v>MHL-402</x:v>
      </x:c>
      <x:c r="B62" s="14" t="str">
        <x:v>7.5</x:v>
      </x:c>
      <x:c r="C62" s="14" t="str">
        <x:v>P1</x:v>
      </x:c>
      <x:c r="D62" s="14" t="str">
        <x:v>Sync</x:v>
      </x:c>
      <x:c r="E62" s="14" t="str">
        <x:v>WebDAV Sync</x:v>
      </x:c>
      <x:c r="F62" s="14" t="str">
        <x:v>myhomelib-infrastructure</x:v>
      </x:c>
      <x:c r="G62" s="14" t="str">
        <x:v>WebDavSyncAdapter</x:v>
      </x:c>
      <x:c r="H62" s="14" t="str">
        <x:v>Offline-first продукту краще почати з user-controlled storage, а не власної хмари.</x:v>
      </x:c>
      <x:c r="I62" s="14" t="str">
        <x:v>Push/pull encrypted sync bundle; incremental changes; credentials via SecretStore.</x:v>
      </x:c>
      <x:c r="J62" s="14" t="str">
        <x:v>Two PCs converge; interrupted upload resume/retry; credentials protected; no DB file direct sync.</x:v>
      </x:c>
      <x:c r="K62" s="14" t="str">
        <x:v>Integration/E2E</x:v>
      </x:c>
      <x:c r="L62" s="14" t="str">
        <x:v>XL</x:v>
      </x:c>
      <x:c r="M62" s="14" t="n">
        <x:v>13</x:v>
      </x:c>
      <x:c r="N62" s="14" t="str">
        <x:v>Backend</x:v>
      </x:c>
      <x:c r="O62" s="14" t="str">
        <x:v>Не розпочато</x:v>
      </x:c>
      <x:c r="P62" s="14" t="str">
        <x:v>High</x:v>
      </x:c>
      <x:c r="Q62" s="14" t="str">
        <x:v>MHL-401,MHL-013</x:v>
      </x:c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 ht="44" customHeight="1">
      <x:c r="A63" s="14" t="str">
        <x:v>MHL-403</x:v>
      </x:c>
      <x:c r="B63" s="14" t="str">
        <x:v>7.5</x:v>
      </x:c>
      <x:c r="C63" s="14" t="str">
        <x:v>P2</x:v>
      </x:c>
      <x:c r="D63" s="14" t="str">
        <x:v>Sync</x:v>
      </x:c>
      <x:c r="E63" s="14" t="str">
        <x:v>Local-folder/Syncthing-compatible sync</x:v>
      </x:c>
      <x:c r="F63" s="14" t="str">
        <x:v>myhomelib-infrastructure</x:v>
      </x:c>
      <x:c r="G63" s="14" t="str">
        <x:v>FolderSyncAdapter</x:v>
      </x:c>
      <x:c r="H63" s="14" t="str">
        <x:v>Дешевий локальний sync без сервера.</x:v>
      </x:c>
      <x:c r="I63" s="14" t="str">
        <x:v>Change bundle in selected folder; atomic files; lock/conflict handling.</x:v>
      </x:c>
      <x:c r="J63" s="14" t="str">
        <x:v>Two instances via shared folder converge; partial file ignored; atomic replace.</x:v>
      </x:c>
      <x:c r="K63" s="14" t="str">
        <x:v>Integration</x:v>
      </x:c>
      <x:c r="L63" s="14" t="str">
        <x:v>L</x:v>
      </x:c>
      <x:c r="M63" s="14" t="n">
        <x:v>8</x:v>
      </x:c>
      <x:c r="N63" s="14" t="str">
        <x:v>Backend</x:v>
      </x:c>
      <x:c r="O63" s="14" t="str">
        <x:v>Не розпочато</x:v>
      </x:c>
      <x:c r="P63" s="14" t="str">
        <x:v>Medium</x:v>
      </x:c>
      <x:c r="Q63" s="14" t="str">
        <x:v>MHL-401</x:v>
      </x:c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 ht="44" customHeight="1">
      <x:c r="A64" s="14" t="str">
        <x:v>MHL-404</x:v>
      </x:c>
      <x:c r="B64" s="14" t="str">
        <x:v>7.5</x:v>
      </x:c>
      <x:c r="C64" s="14" t="str">
        <x:v>P1</x:v>
      </x:c>
      <x:c r="D64" s="14" t="str">
        <x:v>Sync</x:v>
      </x:c>
      <x:c r="E64" s="14" t="str">
        <x:v>Conflict resolution engine</x:v>
      </x:c>
      <x:c r="F64" s="14" t="str">
        <x:v>myhomelib-application; myhomelib-ui</x:v>
      </x:c>
      <x:c r="G64" s="14" t="str">
        <x:v>ConflictResolver</x:v>
      </x:c>
      <x:c r="H64" s="14" t="str">
        <x:v>Last-write-wins неприйнятний для progress/annotations.</x:v>
      </x:c>
      <x:c r="I64" s="14" t="str">
        <x:v>Policy per type: furthest progress/latest/manual; notes/highlights merge; conflict UI.</x:v>
      </x:c>
      <x:c r="J64" s="14" t="str">
        <x:v>Synthetic conflicts resolve deterministically; nothing silently deleted; user can review manual conflicts.</x:v>
      </x:c>
      <x:c r="K64" s="14" t="str">
        <x:v>Unit + E2E</x:v>
      </x:c>
      <x:c r="L64" s="14" t="str">
        <x:v>XL</x:v>
      </x:c>
      <x:c r="M64" s="14" t="n">
        <x:v>13</x:v>
      </x:c>
      <x:c r="N64" s="14" t="str">
        <x:v>Backend/Frontend</x:v>
      </x:c>
      <x:c r="O64" s="14" t="str">
        <x:v>Не розпочато</x:v>
      </x:c>
      <x:c r="P64" s="14" t="str">
        <x:v>High</x:v>
      </x:c>
      <x:c r="Q64" s="14" t="str">
        <x:v>MHL-401</x:v>
      </x:c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 ht="44" customHeight="1">
      <x:c r="A65" s="14" t="str">
        <x:v>MHL-405</x:v>
      </x:c>
      <x:c r="B65" s="14" t="str">
        <x:v>7.5</x:v>
      </x:c>
      <x:c r="C65" s="14" t="str">
        <x:v>P1</x:v>
      </x:c>
      <x:c r="D65" s="14" t="str">
        <x:v>Sync / Security</x:v>
      </x:c>
      <x:c r="E65" s="14" t="str">
        <x:v>Encrypt sync payload</x:v>
      </x:c>
      <x:c r="F65" s="14" t="str">
        <x:v>myhomelib-shared; myhomelib-infrastructure</x:v>
      </x:c>
      <x:c r="G65" s="14" t="str">
        <x:v>Sync encryption</x:v>
      </x:c>
      <x:c r="H65" s="14" t="str">
        <x:v>WebDAV/shared storage не повинні бачити raw private reading data.</x:v>
      </x:c>
      <x:c r="I65" s="14" t="str">
        <x:v>Client-side authenticated encryption; key management through SecretStore; versioned envelope.</x:v>
      </x:c>
      <x:c r="J65" s="14" t="str">
        <x:v>Tampered payload rejected; wrong key fails safely; rotation/migration documented.</x:v>
      </x:c>
      <x:c r="K65" s="14" t="str">
        <x:v>Security tests</x:v>
      </x:c>
      <x:c r="L65" s="14" t="str">
        <x:v>L</x:v>
      </x:c>
      <x:c r="M65" s="14" t="n">
        <x:v>8</x:v>
      </x:c>
      <x:c r="N65" s="14" t="str">
        <x:v>Security</x:v>
      </x:c>
      <x:c r="O65" s="14" t="str">
        <x:v>Не розпочато</x:v>
      </x:c>
      <x:c r="P65" s="14" t="str">
        <x:v>High</x:v>
      </x:c>
      <x:c r="Q65" s="14" t="str">
        <x:v>MHL-013,MHL-402</x:v>
      </x:c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 ht="44" customHeight="1">
      <x:c r="A66" s="14" t="str">
        <x:v>MHL-406</x:v>
      </x:c>
      <x:c r="B66" s="14" t="str">
        <x:v>7.5</x:v>
      </x:c>
      <x:c r="C66" s="14" t="str">
        <x:v>P2</x:v>
      </x:c>
      <x:c r="D66" s="14" t="str">
        <x:v>OPDS</x:v>
      </x:c>
      <x:c r="E66" s="14" t="str">
        <x:v>OPDS 2.0 JSON</x:v>
      </x:c>
      <x:c r="F66" s="14" t="str">
        <x:v>myhomelib-opds</x:v>
      </x:c>
      <x:c r="G66" s="14" t="str">
        <x:v>OPDS2 endpoints</x:v>
      </x:c>
      <x:c r="H66" s="14" t="str">
        <x:v>OPDS2 відкриє richer catalog API.</x:v>
      </x:c>
      <x:c r="I66" s="14" t="str">
        <x:v>Feeds: library, search, collections, groups, favorites, continue reading; pagination.</x:v>
      </x:c>
      <x:c r="J66" s="14" t="str">
        <x:v>Schema-valid responses; pagination stable; auth/TLS inherited; v1 remains compatible.</x:v>
      </x:c>
      <x:c r="K66" s="14" t="str">
        <x:v>Contract/E2E</x:v>
      </x:c>
      <x:c r="L66" s="14" t="str">
        <x:v>L</x:v>
      </x:c>
      <x:c r="M66" s="14" t="n">
        <x:v>8</x:v>
      </x:c>
      <x:c r="N66" s="14" t="str">
        <x:v>Backend</x:v>
      </x:c>
      <x:c r="O66" s="14" t="str">
        <x:v>Не розпочато</x:v>
      </x:c>
      <x:c r="P66" s="14" t="str">
        <x:v>Medium</x:v>
      </x:c>
      <x:c r="Q66" s="14" t="str">
        <x:v>MHL-001</x:v>
      </x:c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 ht="44" customHeight="1">
      <x:c r="A67" s="14" t="str">
        <x:v>MHL-407</x:v>
      </x:c>
      <x:c r="B67" s="14" t="str">
        <x:v>7.5</x:v>
      </x:c>
      <x:c r="C67" s="14" t="str">
        <x:v>P1</x:v>
      </x:c>
      <x:c r="D67" s="14" t="str">
        <x:v>OPDS / Auth</x:v>
      </x:c>
      <x:c r="E67" s="14" t="str">
        <x:v>Token authentication</x:v>
      </x:c>
      <x:c r="F67" s="14" t="str">
        <x:v>myhomelib-opds; myhomelib-ui</x:v>
      </x:c>
      <x:c r="G67" s="14" t="str">
        <x:v>Token service/settings</x:v>
      </x:c>
      <x:c r="H67" s="14" t="str">
        <x:v>API/web access краще не прив'язувати лише до reusable password.</x:v>
      </x:c>
      <x:c r="I67" s="14" t="str">
        <x:v>Generate/revoke scoped tokens; last-used; optional device name; secure storage of hashes.</x:v>
      </x:c>
      <x:c r="J67" s="14" t="str">
        <x:v>Revoked token immediately fails; token shown only once; scope enforced.</x:v>
      </x:c>
      <x:c r="K67" s="14" t="str">
        <x:v>Security integration</x:v>
      </x:c>
      <x:c r="L67" s="14" t="str">
        <x:v>L</x:v>
      </x:c>
      <x:c r="M67" s="14" t="n">
        <x:v>8</x:v>
      </x:c>
      <x:c r="N67" s="14" t="str">
        <x:v>Security</x:v>
      </x:c>
      <x:c r="O67" s="14" t="str">
        <x:v>Не розпочато</x:v>
      </x:c>
      <x:c r="P67" s="14" t="str">
        <x:v>High</x:v>
      </x:c>
      <x:c r="Q67" s="14" t="str">
        <x:v>MHL-002</x:v>
      </x:c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 ht="44" customHeight="1">
      <x:c r="A68" s="14" t="str">
        <x:v>MHL-408</x:v>
      </x:c>
      <x:c r="B68" s="14" t="str">
        <x:v>7.5</x:v>
      </x:c>
      <x:c r="C68" s="14" t="str">
        <x:v>P2</x:v>
      </x:c>
      <x:c r="D68" s="14" t="str">
        <x:v>Web</x:v>
      </x:c>
      <x:c r="E68" s="14" t="str">
        <x:v>Web Library v1</x:v>
      </x:c>
      <x:c r="F68" s="14" t="str">
        <x:v>new web module; myhomelib-application</x:v>
      </x:c>
      <x:c r="G68" s="14" t="str">
        <x:v>HTTP UI/API</x:v>
      </x:c>
      <x:c r="H68" s="14" t="str">
        <x:v>Remote browsing/search/download підсилює OPDS і multi-device use.</x:v>
      </x:c>
      <x:c r="I68" s="14" t="str">
        <x:v>Responsive web catalogue, search, book details, download/open links, continue reading entry.</x:v>
      </x:c>
      <x:c r="J68" s="14" t="str">
        <x:v>LAN browser works via HTTPS; auth required; 500k catalogue pagination performant.</x:v>
      </x:c>
      <x:c r="K68" s="14" t="str">
        <x:v>E2E/performance</x:v>
      </x:c>
      <x:c r="L68" s="14" t="str">
        <x:v>XL</x:v>
      </x:c>
      <x:c r="M68" s="14" t="n">
        <x:v>13</x:v>
      </x:c>
      <x:c r="N68" s="14" t="str">
        <x:v>Web</x:v>
      </x:c>
      <x:c r="O68" s="14" t="str">
        <x:v>Не розпочато</x:v>
      </x:c>
      <x:c r="P68" s="14" t="str">
        <x:v>Medium</x:v>
      </x:c>
      <x:c r="Q68" s="14" t="str">
        <x:v>MHL-001,MHL-407</x:v>
      </x:c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 ht="44" customHeight="1">
      <x:c r="A69" s="14" t="str">
        <x:v>MHL-409</x:v>
      </x:c>
      <x:c r="B69" s="14" t="str">
        <x:v>7.5</x:v>
      </x:c>
      <x:c r="C69" s="14" t="str">
        <x:v>P2</x:v>
      </x:c>
      <x:c r="D69" s="14" t="str">
        <x:v>Web Reader</x:v>
      </x:c>
      <x:c r="E69" s="14" t="str">
        <x:v>Web Reader basic EPUB/FB2</x:v>
      </x:c>
      <x:c r="F69" s="14" t="str">
        <x:v>web module</x:v>
      </x:c>
      <x:c r="G69" s="14" t="str">
        <x:v>Web reader</x:v>
      </x:c>
      <x:c r="H69" s="14" t="str">
        <x:v>Повноцінний browser reading — наступний крок після Web Library.</x:v>
      </x:c>
      <x:c r="I69" s="14" t="str">
        <x:v>EPUB/FB2 render, TOC, theme/font, progress save.</x:v>
      </x:c>
      <x:c r="J69" s="14" t="str">
        <x:v>Progress syncs with desktop; reopen resumes; unsupported format offers download.</x:v>
      </x:c>
      <x:c r="K69" s="14" t="str">
        <x:v>E2E</x:v>
      </x:c>
      <x:c r="L69" s="14" t="str">
        <x:v>XL</x:v>
      </x:c>
      <x:c r="M69" s="14" t="n">
        <x:v>13</x:v>
      </x:c>
      <x:c r="N69" s="14" t="str">
        <x:v>Web</x:v>
      </x:c>
      <x:c r="O69" s="14" t="str">
        <x:v>Не розпочато</x:v>
      </x:c>
      <x:c r="P69" s="14" t="str">
        <x:v>Medium</x:v>
      </x:c>
      <x:c r="Q69" s="14" t="str">
        <x:v>MHL-401,MHL-408</x:v>
      </x:c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 ht="44" customHeight="1">
      <x:c r="A70" s="14" t="str">
        <x:v>MHL-410</x:v>
      </x:c>
      <x:c r="B70" s="14" t="str">
        <x:v>7.5</x:v>
      </x:c>
      <x:c r="C70" s="14" t="str">
        <x:v>P2</x:v>
      </x:c>
      <x:c r="D70" s="14" t="str">
        <x:v>Remote UX</x:v>
      </x:c>
      <x:c r="E70" s="14" t="str">
        <x:v>Continue Reading across devices</x:v>
      </x:c>
      <x:c r="F70" s="14" t="str">
        <x:v>myhomelib-application; myhomelib-ui; web</x:v>
      </x:c>
      <x:c r="G70" s="14" t="str">
        <x:v>Progress query</x:v>
      </x:c>
      <x:c r="H70" s="14" t="str">
        <x:v>Sync має бути видимим як user value.</x:v>
      </x:c>
      <x:c r="I70" s="14" t="str">
        <x:v>Home shelf with recent/in-progress books, progress, last device/time.</x:v>
      </x:c>
      <x:c r="J70" s="14" t="str">
        <x:v>Same state visible desktop/web after sync; completed books leave active shelf by rule.</x:v>
      </x:c>
      <x:c r="K70" s="14" t="str">
        <x:v>E2E</x:v>
      </x:c>
      <x:c r="L70" s="14" t="str">
        <x:v>M</x:v>
      </x:c>
      <x:c r="M70" s="14" t="n">
        <x:v>5</x:v>
      </x:c>
      <x:c r="N70" s="14" t="str">
        <x:v>Frontend/Web</x:v>
      </x:c>
      <x:c r="O70" s="14" t="str">
        <x:v>Не розпочато</x:v>
      </x:c>
      <x:c r="P70" s="14" t="str">
        <x:v>Medium</x:v>
      </x:c>
      <x:c r="Q70" s="14" t="str">
        <x:v>MHL-404,MHL-409</x:v>
      </x:c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 ht="44" customHeight="1">
      <x:c r="A71" s="14" t="str">
        <x:v>MHL-501</x:v>
      </x:c>
      <x:c r="B71" s="14" t="str">
        <x:v>8.0</x:v>
      </x:c>
      <x:c r="C71" s="14" t="str">
        <x:v>P2</x:v>
      </x:c>
      <x:c r="D71" s="14" t="str">
        <x:v>Plugins</x:v>
      </x:c>
      <x:c r="E71" s="14" t="str">
        <x:v>Plugin SPI core</x:v>
      </x:c>
      <x:c r="F71" s="14" t="str">
        <x:v>new plugin-api module</x:v>
      </x:c>
      <x:c r="G71" s="14" t="str">
        <x:v>Plugin interfaces</x:v>
      </x:c>
      <x:c r="H71" s="14" t="str">
        <x:v>Розширюваність не повинна вимагати змін core для кожного provider.</x:v>
      </x:c>
      <x:c r="I71" s="14" t="str">
        <x:v>Stable SPI: MetadataProvider, CoverProvider, BookImporter, MetadataExtractor, ContentExtractor, ExportProvider, TranslationProvider, DictionaryProvider, DeviceProvider.</x:v>
      </x:c>
      <x:c r="J71" s="14" t="str">
        <x:v>Sample plugin loads; version compatibility checked; plugin cannot silently override core service without declaration.</x:v>
      </x:c>
      <x:c r="K71" s="14" t="str">
        <x:v>Contract tests</x:v>
      </x:c>
      <x:c r="L71" s="14" t="str">
        <x:v>XL</x:v>
      </x:c>
      <x:c r="M71" s="14" t="n">
        <x:v>13</x:v>
      </x:c>
      <x:c r="N71" s="14" t="str">
        <x:v>Architecture</x:v>
      </x:c>
      <x:c r="O71" s="14" t="str">
        <x:v>Не розпочато</x:v>
      </x:c>
      <x:c r="P71" s="14" t="str">
        <x:v>Strategic</x:v>
      </x:c>
      <x:c r="Q71" s="14" t="str">
        <x:v>7.2-7.5 SPIs</x:v>
      </x:c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 ht="44" customHeight="1">
      <x:c r="A72" s="14" t="str">
        <x:v>MHL-502</x:v>
      </x:c>
      <x:c r="B72" s="14" t="str">
        <x:v>8.0</x:v>
      </x:c>
      <x:c r="C72" s="14" t="str">
        <x:v>P2</x:v>
      </x:c>
      <x:c r="D72" s="14" t="str">
        <x:v>Plugins / Security</x:v>
      </x:c>
      <x:c r="E72" s="14" t="str">
        <x:v>Plugin permissions і isolation</x:v>
      </x:c>
      <x:c r="F72" s="14" t="str">
        <x:v>plugin-api/bootstrap</x:v>
      </x:c>
      <x:c r="G72" s="14" t="str">
        <x:v>Plugin loader</x:v>
      </x:c>
      <x:c r="H72" s="14" t="str">
        <x:v>Third-party plugins створюють supply-chain/security risk.</x:v>
      </x:c>
      <x:c r="I72" s="14" t="str">
        <x:v>Manifest permissions; trusted/untrusted status; network/filesystem capability declaration; disable/quarantine.</x:v>
      </x:c>
      <x:c r="J72" s="14" t="str">
        <x:v>Plugin permissions shown before enable; crash не валить app; incompatible plugin blocked.</x:v>
      </x:c>
      <x:c r="K72" s="14" t="str">
        <x:v>Security/E2E</x:v>
      </x:c>
      <x:c r="L72" s="14" t="str">
        <x:v>XL</x:v>
      </x:c>
      <x:c r="M72" s="14" t="n">
        <x:v>13</x:v>
      </x:c>
      <x:c r="N72" s="14" t="str">
        <x:v>Security</x:v>
      </x:c>
      <x:c r="O72" s="14" t="str">
        <x:v>Не розпочато</x:v>
      </x:c>
      <x:c r="P72" s="14" t="str">
        <x:v>High</x:v>
      </x:c>
      <x:c r="Q72" s="14" t="str">
        <x:v>MHL-501</x:v>
      </x:c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 ht="44" customHeight="1">
      <x:c r="A73" s="14" t="str">
        <x:v>MHL-503</x:v>
      </x:c>
      <x:c r="B73" s="14" t="str">
        <x:v>8.0</x:v>
      </x:c>
      <x:c r="C73" s="14" t="str">
        <x:v>P3</x:v>
      </x:c>
      <x:c r="D73" s="14" t="str">
        <x:v>Plugins</x:v>
      </x:c>
      <x:c r="E73" s="14" t="str">
        <x:v>Plugin SDK + sample plugins</x:v>
      </x:c>
      <x:c r="F73" s="14" t="str">
        <x:v>docs; plugin-api</x:v>
      </x:c>
      <x:c r="G73" s="14" t="str">
        <x:v>SDK docs/samples</x:v>
      </x:c>
      <x:c r="H73" s="14" t="str">
        <x:v>Без документації SPI не створить ecosystem.</x:v>
      </x:c>
      <x:c r="I73" s="14" t="str">
        <x:v>Samples metadata/dictionary/export; compatibility guide; test harness.</x:v>
      </x:c>
      <x:c r="J73" s="14" t="str">
        <x:v>Новий plugin можна зібрати за документацією; CI sample build pass.</x:v>
      </x:c>
      <x:c r="K73" s="14" t="str">
        <x:v>Docs/CI</x:v>
      </x:c>
      <x:c r="L73" s="14" t="str">
        <x:v>M</x:v>
      </x:c>
      <x:c r="M73" s="14" t="n">
        <x:v>5</x:v>
      </x:c>
      <x:c r="N73" s="14" t="str">
        <x:v>DevRel</x:v>
      </x:c>
      <x:c r="O73" s="14" t="str">
        <x:v>Не розпочато</x:v>
      </x:c>
      <x:c r="P73" s="14" t="str">
        <x:v>Low</x:v>
      </x:c>
      <x:c r="Q73" s="14" t="str">
        <x:v>MHL-501</x:v>
      </x:c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 ht="44" customHeight="1">
      <x:c r="A74" s="14" t="str">
        <x:v>MHL-504</x:v>
      </x:c>
      <x:c r="B74" s="14" t="str">
        <x:v>8.0</x:v>
      </x:c>
      <x:c r="C74" s="14" t="str">
        <x:v>P3</x:v>
      </x:c>
      <x:c r="D74" s="14" t="str">
        <x:v>Devices</x:v>
      </x:c>
      <x:c r="E74" s="14" t="str">
        <x:v>Device profiles</x:v>
      </x:c>
      <x:c r="F74" s="14" t="str">
        <x:v>myhomelib-application; myhomelib-ui</x:v>
      </x:c>
      <x:c r="G74" s="14" t="str">
        <x:v>DeviceProvider/Profile</x:v>
      </x:c>
      <x:c r="H74" s="14" t="str">
        <x:v>Kindle/Kobo/PocketBook/Android мають різні preferred formats.</x:v>
      </x:c>
      <x:c r="I74" s="14" t="str">
        <x:v>Detect/profile devices; preferred format order; destination paths; custom folder profile.</x:v>
      </x:c>
      <x:c r="J74" s="14" t="str">
        <x:v>Profile selectable; preferred artifact chosen; unknown device falls back safely.</x:v>
      </x:c>
      <x:c r="K74" s="14" t="str">
        <x:v>Integration</x:v>
      </x:c>
      <x:c r="L74" s="14" t="str">
        <x:v>L</x:v>
      </x:c>
      <x:c r="M74" s="14" t="n">
        <x:v>8</x:v>
      </x:c>
      <x:c r="N74" s="14" t="str">
        <x:v>Backend/Frontend</x:v>
      </x:c>
      <x:c r="O74" s="14" t="str">
        <x:v>Не розпочато</x:v>
      </x:c>
      <x:c r="P74" s="14" t="str">
        <x:v>Low</x:v>
      </x:c>
      <x:c r="Q74" s="14" t="str">
        <x:v>MHL-101,MHL-501</x:v>
      </x:c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 ht="44" customHeight="1">
      <x:c r="A75" s="14" t="str">
        <x:v>MHL-505</x:v>
      </x:c>
      <x:c r="B75" s="14" t="str">
        <x:v>8.0</x:v>
      </x:c>
      <x:c r="C75" s="14" t="str">
        <x:v>P3</x:v>
      </x:c>
      <x:c r="D75" s="14" t="str">
        <x:v>Devices</x:v>
      </x:c>
      <x:c r="E75" s="14" t="str">
        <x:v>Send to Device</x:v>
      </x:c>
      <x:c r="F75" s="14" t="str">
        <x:v>myhomelib-ui; myhomelib-application</x:v>
      </x:c>
      <x:c r="G75" s="14" t="str">
        <x:v>SendToDeviceUseCase</x:v>
      </x:c>
      <x:c r="H75" s="14" t="str">
        <x:v>Зручне копіювання книги на пристрій.</x:v>
      </x:c>
      <x:c r="I75" s="14" t="str">
        <x:v>Batch send, format selection, progress, duplicate handling, eject-safe completion.</x:v>
      </x:c>
      <x:c r="J75" s="14" t="str">
        <x:v>Files arrive correct; no overwrite without policy; cancel leaves consistent state.</x:v>
      </x:c>
      <x:c r="K75" s="14" t="str">
        <x:v>E2E</x:v>
      </x:c>
      <x:c r="L75" s="14" t="str">
        <x:v>L</x:v>
      </x:c>
      <x:c r="M75" s="14" t="n">
        <x:v>8</x:v>
      </x:c>
      <x:c r="N75" s="14" t="str">
        <x:v>Frontend/Backend</x:v>
      </x:c>
      <x:c r="O75" s="14" t="str">
        <x:v>Не розпочато</x:v>
      </x:c>
      <x:c r="P75" s="14" t="str">
        <x:v>Low</x:v>
      </x:c>
      <x:c r="Q75" s="14" t="str">
        <x:v>MHL-504</x:v>
      </x:c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 ht="44" customHeight="1">
      <x:c r="A76" s="14" t="str">
        <x:v>MHL-506</x:v>
      </x:c>
      <x:c r="B76" s="14" t="str">
        <x:v>8.0</x:v>
      </x:c>
      <x:c r="C76" s="14" t="str">
        <x:v>P3</x:v>
      </x:c>
      <x:c r="D76" s="14" t="str">
        <x:v>Conversion</x:v>
      </x:c>
      <x:c r="E76" s="14" t="str">
        <x:v>BookConverter SPI</x:v>
      </x:c>
      <x:c r="F76" s="14" t="str">
        <x:v>myhomelib-application</x:v>
      </x:c>
      <x:c r="G76" s="14" t="str">
        <x:v>BookConverter</x:v>
      </x:c>
      <x:c r="H76" s="14" t="str">
        <x:v>Конвертація форматів не повинна жорстко залежати від одного engine.</x:v>
      </x:c>
      <x:c r="I76" s="14" t="str">
        <x:v>Provider-neutral conversion jobs, capability matrix, temp files, cancellation.</x:v>
      </x:c>
      <x:c r="J76" s="14" t="str">
        <x:v>Mock converter contract; failures clean temp files; output registered as artifact.</x:v>
      </x:c>
      <x:c r="K76" s="14" t="str">
        <x:v>Contract tests</x:v>
      </x:c>
      <x:c r="L76" s="14" t="str">
        <x:v>L</x:v>
      </x:c>
      <x:c r="M76" s="14" t="n">
        <x:v>8</x:v>
      </x:c>
      <x:c r="N76" s="14" t="str">
        <x:v>Architecture</x:v>
      </x:c>
      <x:c r="O76" s="14" t="str">
        <x:v>Не розпочато</x:v>
      </x:c>
      <x:c r="P76" s="14" t="str">
        <x:v>Low</x:v>
      </x:c>
      <x:c r="Q76" s="14" t="str">
        <x:v>MHL-101,MHL-501</x:v>
      </x:c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 ht="44" customHeight="1">
      <x:c r="A77" s="14" t="str">
        <x:v>MHL-507</x:v>
      </x:c>
      <x:c r="B77" s="14" t="str">
        <x:v>8.0</x:v>
      </x:c>
      <x:c r="C77" s="14" t="str">
        <x:v>P3</x:v>
      </x:c>
      <x:c r="D77" s="14" t="str">
        <x:v>Conversion</x:v>
      </x:c>
      <x:c r="E77" s="14" t="str">
        <x:v>calibre CLI adapter</x:v>
      </x:c>
      <x:c r="F77" s="14" t="str">
        <x:v>myhomelib-infrastructure</x:v>
      </x:c>
      <x:c r="G77" s="14" t="str">
        <x:v>CalibreCliConverter</x:v>
      </x:c>
      <x:c r="H77" s="14" t="str">
        <x:v>Можна використати mature conversion engine замість переписування конвертерів.</x:v>
      </x:c>
      <x:c r="I77" s="14" t="str">
        <x:v>Detect optional calibre CLI; execute safely; capture logs; sandbox paths.</x:v>
      </x:c>
      <x:c r="J77" s="14" t="str">
        <x:v>Works when installed; app remains functional without it; command arguments escaped safely.</x:v>
      </x:c>
      <x:c r="K77" s="14" t="str">
        <x:v>Integration</x:v>
      </x:c>
      <x:c r="L77" s="14" t="str">
        <x:v>M</x:v>
      </x:c>
      <x:c r="M77" s="14" t="n">
        <x:v>5</x:v>
      </x:c>
      <x:c r="N77" s="14" t="str">
        <x:v>Backend</x:v>
      </x:c>
      <x:c r="O77" s="14" t="str">
        <x:v>Не розпочато</x:v>
      </x:c>
      <x:c r="P77" s="14" t="str">
        <x:v>Low</x:v>
      </x:c>
      <x:c r="Q77" s="14" t="str">
        <x:v>MHL-506</x:v>
      </x:c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 ht="44" customHeight="1">
      <x:c r="A78" s="14" t="str">
        <x:v>MHL-508</x:v>
      </x:c>
      <x:c r="B78" s="14" t="str">
        <x:v>8.0</x:v>
      </x:c>
      <x:c r="C78" s="14" t="str">
        <x:v>P3</x:v>
      </x:c>
      <x:c r="D78" s="14" t="str">
        <x:v>Audiobooks</x:v>
      </x:c>
      <x:c r="E78" s="14" t="str">
        <x:v>Audiobook support v1</x:v>
      </x:c>
      <x:c r="F78" s="14" t="str">
        <x:v>myhomelib-reader; myhomelib-domain</x:v>
      </x:c>
      <x:c r="G78" s="14" t="str">
        <x:v>Audio artifact/player</x:v>
      </x:c>
      <x:c r="H78" s="14" t="str">
        <x:v>Розширення бібліотеки на MP3/M4B.</x:v>
      </x:c>
      <x:c r="I78" s="14" t="str">
        <x:v>Chapters, speed, sleep timer, bookmarks, progress; multi-file audiobook grouping.</x:v>
      </x:c>
      <x:c r="J78" s="14" t="str">
        <x:v>M4B/MP3 open; resume exact; sleep timer; backup/sync progress.</x:v>
      </x:c>
      <x:c r="K78" s="14" t="str">
        <x:v>E2E</x:v>
      </x:c>
      <x:c r="L78" s="14" t="str">
        <x:v>XL</x:v>
      </x:c>
      <x:c r="M78" s="14" t="n">
        <x:v>13</x:v>
      </x:c>
      <x:c r="N78" s="14" t="str">
        <x:v>Reader</x:v>
      </x:c>
      <x:c r="O78" s="14" t="str">
        <x:v>Не розпочато</x:v>
      </x:c>
      <x:c r="P78" s="14" t="str">
        <x:v>Low</x:v>
      </x:c>
      <x:c r="Q78" s="14" t="str">
        <x:v>MHL-101,MHL-401</x:v>
      </x:c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 ht="44" customHeight="1">
      <x:c r="A79" s="14" t="str">
        <x:v>MHL-509</x:v>
      </x:c>
      <x:c r="B79" s="14" t="str">
        <x:v>8.0</x:v>
      </x:c>
      <x:c r="C79" s="14" t="str">
        <x:v>P3</x:v>
      </x:c>
      <x:c r="D79" s="14" t="str">
        <x:v>Integrations</x:v>
      </x:c>
      <x:c r="E79" s="14" t="str">
        <x:v>Export to Obsidian/Joplin-compatible Markdown</x:v>
      </x:c>
      <x:c r="F79" s="14" t="str">
        <x:v>myhomelib-application</x:v>
      </x:c>
      <x:c r="G79" s="14" t="str">
        <x:v>Annotation export templates</x:v>
      </x:c>
      <x:c r="H79" s="14" t="str">
        <x:v>Knowledge-management workflow підвищує цінність annotations.</x:v>
      </x:c>
      <x:c r="I79" s="14" t="str">
        <x:v>Folder/template mapping; one file per book; backlinks/metadata frontmatter optional.</x:v>
      </x:c>
      <x:c r="J79" s="14" t="str">
        <x:v>Export deterministic; Unicode-safe; re-export policy avoids accidental duplication.</x:v>
      </x:c>
      <x:c r="K79" s="14" t="str">
        <x:v>Unit</x:v>
      </x:c>
      <x:c r="L79" s="14" t="str">
        <x:v>M</x:v>
      </x:c>
      <x:c r="M79" s="14" t="n">
        <x:v>5</x:v>
      </x:c>
      <x:c r="N79" s="14" t="str">
        <x:v>Backend</x:v>
      </x:c>
      <x:c r="O79" s="14" t="str">
        <x:v>Не розпочато</x:v>
      </x:c>
      <x:c r="P79" s="14" t="str">
        <x:v>Low</x:v>
      </x:c>
      <x:c r="Q79" s="14" t="str">
        <x:v>MHL-205</x:v>
      </x:c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 ht="44" customHeight="1">
      <x:c r="A80" s="14" t="str">
        <x:v>MHL-510</x:v>
      </x:c>
      <x:c r="B80" s="14" t="str">
        <x:v>8.0</x:v>
      </x:c>
      <x:c r="C80" s="14" t="str">
        <x:v>P3</x:v>
      </x:c>
      <x:c r="D80" s="14" t="str">
        <x:v>AI / Optional</x:v>
      </x:c>
      <x:c r="E80" s="14" t="str">
        <x:v>Provider-neutral AI extension point</x:v>
      </x:c>
      <x:c r="F80" s="14" t="str">
        <x:v>plugin-api</x:v>
      </x:c>
      <x:c r="G80" s="14" t="str">
        <x:v>AiProvider optional</x:v>
      </x:c>
      <x:c r="H80" s="14" t="str">
        <x:v>AI варто додавати лише після core library/reader/sync фундаменту.</x:v>
      </x:c>
      <x:c r="I80" s="14" t="str">
        <x:v>Optional provider API for summary/Q&amp;A with explicit consent and privacy boundaries; no provider enabled by default.</x:v>
      </x:c>
      <x:c r="J80" s="14" t="str">
        <x:v>Core works without AI; network use explicit; secrets via SecretStore; per-book opt-in.</x:v>
      </x:c>
      <x:c r="K80" s="14" t="str">
        <x:v>Contract/security tests</x:v>
      </x:c>
      <x:c r="L80" s="14" t="str">
        <x:v>L</x:v>
      </x:c>
      <x:c r="M80" s="14" t="n">
        <x:v>8</x:v>
      </x:c>
      <x:c r="N80" s="14" t="str">
        <x:v>Architecture</x:v>
      </x:c>
      <x:c r="O80" s="14" t="str">
        <x:v>Не розпочато</x:v>
      </x:c>
      <x:c r="P80" s="14" t="str">
        <x:v>Low</x:v>
      </x:c>
      <x:c r="Q80" s="14" t="str">
        <x:v>MHL-501,MHL-013</x:v>
      </x:c>
      <x:c r="R80" s="49"/>
      <x:c r="S80" s="49"/>
      <x:c r="T80" s="49"/>
      <x:c r="U80" s="49"/>
      <x:c r="V80" s="49"/>
      <x:c r="W80" s="49"/>
      <x:c r="X80" s="49"/>
      <x:c r="Y80" s="49"/>
      <x:c r="Z80" s="49"/>
    </x:row>
  </x:sheetData>
  <x:conditionalFormatting sqref="C2:C80">
    <x:cfRule type="expression" dxfId="0" priority="1">
      <x:formula>C2="P0"</x:formula>
    </x:cfRule>
    <x:cfRule type="expression" dxfId="1" priority="2">
      <x:formula>C2="P1"</x:formula>
    </x:cfRule>
    <x:cfRule type="expression" dxfId="2" priority="3">
      <x:formula>C2="P2"</x:formula>
    </x:cfRule>
    <x:cfRule type="expression" dxfId="3" priority="4">
      <x:formula>C2="P3"</x:formula>
    </x:cfRule>
  </x:conditionalFormatting>
  <x:conditionalFormatting sqref="O2:O80">
    <x:cfRule type="expression" dxfId="4" priority="5">
      <x:formula>O2="Готово"</x:formula>
    </x:cfRule>
    <x:cfRule type="expression" dxfId="5" priority="6">
      <x:formula>O2="Заблоковано"</x:formula>
    </x:cfRule>
  </x:conditionalFormatting>
  <x:conditionalFormatting sqref="M2:M80">
    <x:cfRule type="dataBar" priority="7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{A70C2F15-5D76-DC17-8A6B-181729C1C45D}</x14:id>
        </x:ext>
      </x:extLst>
    </x:cfRule>
  </x:conditionalFormatting>
  <x:dataValidations count="3">
    <x:dataValidation type="list" sqref="C2:C80">
      <x:formula1>"P0,P1,P2,P3"</x:formula1>
    </x:dataValidation>
    <x:dataValidation type="list" sqref="L2:L80">
      <x:formula1>"S,M,L,XL"</x:formula1>
    </x:dataValidation>
    <x:dataValidation type="list" sqref="O2:O80">
      <x:formula1>"Не розпочато,В роботі,Заблоковано,Готово"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19e7b618fe491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A70C2F15-5D76-DC17-8A6B-181729C1C45D}">
            <x14:dataBar gradient="1">
              <x14:cfvo type="min"/>
              <x14:cfvo type="max"/>
              <x14:fillColor rgb="FFA02B93"/>
            </x14:dataBar>
          </x14:cfRule>
          <xm:sqref>M2:M80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8" hidden="0" customWidth="1"/>
    <x:col min="4" max="4" width="52" hidden="0" customWidth="1"/>
    <x:col min="5" max="5" width="44" hidden="0" customWidth="1"/>
  </x:cols>
  <x:sheetData>
    <x:row r="1">
      <x:c r="A1" s="6" t="str">
        <x:v>Реліз</x:v>
      </x:c>
      <x:c r="B1" s="6" t="str">
        <x:v>Тема</x:v>
      </x:c>
      <x:c r="C1" s="6" t="str">
        <x:v>Ціль</x:v>
      </x:c>
      <x:c r="D1" s="6" t="str">
        <x:v>Основний склад</x:v>
      </x:c>
      <x:c r="E1" s="6" t="str">
        <x:v>Exit criteria / примітка</x:v>
      </x:c>
    </x:row>
    <x:row r="2" ht="54" customHeight="1">
      <x:c r="A2" s="14" t="str">
        <x:v>7.1 Final</x:v>
      </x:c>
      <x:c r="B2" s="14" t="str">
        <x:v>Stabilize &amp; Secure</x:v>
      </x:c>
      <x:c r="C2" s="14" t="str">
        <x:v>Закрити release blockers без великих нових фіч</x:v>
      </x:c>
      <x:c r="D2" s="14" t="str">
        <x:v>OPDS TLS/password, format consistency, Windows DPI/packaging, E2E, PR CI, supply-chain hardening</x:v>
      </x:c>
      <x:c r="E2" s="14" t="str">
        <x:v>Final можна випускати лише після закриття всіх P0</x:v>
      </x:c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</x:row>
    <x:row r="3" ht="54" customHeight="1">
      <x:c r="A3" s="14" t="str">
        <x:v>7.2</x:v>
      </x:c>
      <x:c r="B3" s="14" t="str">
        <x:v>Library Integrity &amp; Metadata</x:v>
      </x:c>
      <x:c r="C3" s="14" t="str">
        <x:v>Зробити модель бібліотеки сильнішою</x:v>
      </x:c>
      <x:c r="D3" s="14" t="str">
        <x:v>Multi-artifact, duplicates/merge, metadata providers, batch edit, watcher, smart collections, health</x:v>
      </x:c>
      <x:c r="E3" s="14" t="str">
        <x:v>Створює фундамент для device/sync/web</x:v>
      </x:c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 ht="54" customHeight="1">
      <x:c r="A4" s="14" t="str">
        <x:v>7.3</x:v>
      </x:c>
      <x:c r="B4" s="14" t="str">
        <x:v>Power Reader</x:v>
      </x:c>
      <x:c r="C4" s="14" t="str">
        <x:v>Зробити Reader конкурентним</x:v>
      </x:c>
      <x:c r="D4" s="14" t="str">
        <x:v>Highlights, notes, PDF, comics, TTS, accessibility</x:v>
      </x:c>
      <x:c r="E4" s="14" t="str">
        <x:v>Не змішувати з full-content index — окремий реліз</x:v>
      </x:c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 ht="54" customHeight="1">
      <x:c r="A5" s="14" t="str">
        <x:v>7.4</x:v>
      </x:c>
      <x:c r="B5" s="14" t="str">
        <x:v>Search Everywhere</x:v>
      </x:c>
      <x:c r="C5" s="14" t="str">
        <x:v>Пошук по вмісту всієї бібліотеки</x:v>
      </x:c>
      <x:c r="D5" s="14" t="str">
        <x:v>ContentExtractor SPI, окремий Lucene content index, background indexing, snippets, annotation search</x:v>
      </x:c>
      <x:c r="E5" s="14" t="str">
        <x:v>Обов’язково з resource throttling</x:v>
      </x:c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 ht="54" customHeight="1">
      <x:c r="A6" s="14" t="str">
        <x:v>7.5</x:v>
      </x:c>
      <x:c r="B6" s="14" t="str">
        <x:v>My Library Everywhere</x:v>
      </x:c>
      <x:c r="C6" s="14" t="str">
        <x:v>Синхронізація й remote access</x:v>
      </x:c>
      <x:c r="D6" s="14" t="str">
        <x:v>WebDAV/local sync, conflicts, encrypted payload, OPDS2, tokens, Web Library/Reader</x:v>
      </x:c>
      <x:c r="E6" s="14" t="str">
        <x:v>Offline-first: без обов’язкової власної хмари</x:v>
      </x:c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 ht="54" customHeight="1">
      <x:c r="A7" s="14" t="str">
        <x:v>8.0</x:v>
      </x:c>
      <x:c r="B7" s="14" t="str">
        <x:v>Ecosystem</x:v>
      </x:c>
      <x:c r="C7" s="14" t="str">
        <x:v>Розширюваність і нові типи контенту</x:v>
      </x:c>
      <x:c r="D7" s="14" t="str">
        <x:v>Plugin SDK, devices, conversion, audiobooks, integrations, optional AI</x:v>
      </x:c>
      <x:c r="E7" s="14" t="str">
        <x:v>Починати лише після стабілізації SPI попередніх релізів</x:v>
      </x:c>
      <x:c r="F7" s="49"/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</x:sheetData>
  <x:pageMargins left="0.7" right="0.7" top="0.75" bottom="0.75" header="0.3" footer="0.3"/>
  <x:tableParts count="1">
    <x:tablePart xmlns:r="http://schemas.openxmlformats.org/officeDocument/2006/relationships" r:id="R32976a5385f4448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28" hidden="0" customWidth="1"/>
    <x:col min="4" max="4" width="48" hidden="0" customWidth="1"/>
    <x:col min="5" max="5" width="48" hidden="0" customWidth="1"/>
    <x:col min="6" max="6" width="11" hidden="0" customWidth="1"/>
  </x:cols>
  <x:sheetData>
    <x:row r="1">
      <x:c r="A1" s="6" t="str">
        <x:v>ID</x:v>
      </x:c>
      <x:c r="B1" s="6" t="str">
        <x:v>Реліз</x:v>
      </x:c>
      <x:c r="C1" s="6" t="str">
        <x:v>Сценарій</x:v>
      </x:c>
      <x:c r="D1" s="6" t="str">
        <x:v>Крок / умова</x:v>
      </x:c>
      <x:c r="E1" s="6" t="str">
        <x:v>Очікуваний результат</x:v>
      </x:c>
      <x:c r="F1" s="6" t="str">
        <x:v>Пріоритет</x:v>
      </x:c>
    </x:row>
    <x:row r="2">
      <x:c r="A2" s="14" t="str">
        <x:v>E2E-01</x:v>
      </x:c>
      <x:c r="B2" s="14" t="str">
        <x:v>7.1 Final</x:v>
      </x:c>
      <x:c r="C2" s="14" t="str">
        <x:v>Створення локальної колекції</x:v>
      </x:c>
      <x:c r="D2" s="14" t="str">
        <x:v>Створити нову локальну колекцію, перезапустити програму</x:v>
      </x:c>
      <x:c r="E2" s="14" t="str">
        <x:v>Колекція збережена, відкривається після restart</x:v>
      </x:c>
      <x:c r="F2" s="14" t="str">
        <x:v>P0</x:v>
      </x:c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</x:row>
    <x:row r="3">
      <x:c r="A3" s="14" t="str">
        <x:v>E2E-02</x:v>
      </x:c>
      <x:c r="B3" s="14" t="str">
        <x:v>7.1 Final</x:v>
      </x:c>
      <x:c r="C3" s="14" t="str">
        <x:v>INPX import</x:v>
      </x:c>
      <x:c r="D3" s="14" t="str">
        <x:v>Імпортувати representative INPX</x:v>
      </x:c>
      <x:c r="E3" s="14" t="str">
        <x:v>Кількість книг очікувана; UI responsive; errors logged</x:v>
      </x:c>
      <x:c r="F3" s="14" t="str">
        <x:v>P0</x:v>
      </x:c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>
      <x:c r="A4" s="14" t="str">
        <x:v>E2E-03</x:v>
      </x:c>
      <x:c r="B4" s="14" t="str">
        <x:v>7.1 Final</x:v>
      </x:c>
      <x:c r="C4" s="14" t="str">
        <x:v>Folder import</x:v>
      </x:c>
      <x:c r="D4" s="14" t="str">
        <x:v>Імпортувати FB2/EPUB/ZIP + Unicode paths</x:v>
      </x:c>
      <x:c r="E4" s="14" t="str">
        <x:v>Усі підтримувані файли видимі; unknown handled</x:v>
      </x:c>
      <x:c r="F4" s="14" t="str">
        <x:v>P0</x:v>
      </x:c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>
      <x:c r="A5" s="14" t="str">
        <x:v>E2E-04</x:v>
      </x:c>
      <x:c r="B5" s="14" t="str">
        <x:v>7.1 Final</x:v>
      </x:c>
      <x:c r="C5" s="14" t="str">
        <x:v>Search &amp; filter</x:v>
      </x:c>
      <x:c r="D5" s="14" t="str">
        <x:v>Пошук author/title + format filter</x:v>
      </x:c>
      <x:c r="E5" s="14" t="str">
        <x:v>Результати правильні; формат не unknown</x:v>
      </x:c>
      <x:c r="F5" s="14" t="str">
        <x:v>P0</x:v>
      </x:c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>
      <x:c r="A6" s="14" t="str">
        <x:v>E2E-05</x:v>
      </x:c>
      <x:c r="B6" s="14" t="str">
        <x:v>7.1 Final</x:v>
      </x:c>
      <x:c r="C6" s="14" t="str">
        <x:v>Reader persistence</x:v>
      </x:c>
      <x:c r="D6" s="14" t="str">
        <x:v>Відкрити книгу, змінити позицію, bookmark, restart</x:v>
      </x:c>
      <x:c r="E6" s="14" t="str">
        <x:v>Позиція і bookmark відновлені</x:v>
      </x:c>
      <x:c r="F6" s="14" t="str">
        <x:v>P0</x:v>
      </x:c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>
      <x:c r="A7" s="14" t="str">
        <x:v>E2E-06</x:v>
      </x:c>
      <x:c r="B7" s="14" t="str">
        <x:v>7.1 Final</x:v>
      </x:c>
      <x:c r="C7" s="14" t="str">
        <x:v>Online update success</x:v>
      </x:c>
      <x:c r="D7" s="14" t="str">
        <x:v>Запустити valid update</x:v>
      </x:c>
      <x:c r="E7" s="14" t="str">
        <x:v>Update committed; collection consistent</x:v>
      </x:c>
      <x:c r="F7" s="14" t="str">
        <x:v>P0</x:v>
      </x:c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>
      <x:c r="A8" s="14" t="str">
        <x:v>E2E-07</x:v>
      </x:c>
      <x:c r="B8" s="14" t="str">
        <x:v>7.1 Final</x:v>
      </x:c>
      <x:c r="C8" s="14" t="str">
        <x:v>Online update rollback</x:v>
      </x:c>
      <x:c r="D8" s="14" t="str">
        <x:v>Подати corrupt/invalid payload</x:v>
      </x:c>
      <x:c r="E8" s="14" t="str">
        <x:v>Старі дані збережені; temp files cleaned</x:v>
      </x:c>
      <x:c r="F8" s="14" t="str">
        <x:v>P0</x:v>
      </x:c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>
      <x:c r="A9" s="14" t="str">
        <x:v>E2E-08</x:v>
      </x:c>
      <x:c r="B9" s="14" t="str">
        <x:v>7.1 Final</x:v>
      </x:c>
      <x:c r="C9" s="14" t="str">
        <x:v>Backup/restore</x:v>
      </x:c>
      <x:c r="D9" s="14" t="str">
        <x:v>Backup → clean profile → restore</x:v>
      </x:c>
      <x:c r="E9" s="14" t="str">
        <x:v>User data/collections/settings відновлено</x:v>
      </x:c>
      <x:c r="F9" s="14" t="str">
        <x:v>P0</x:v>
      </x:c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>
      <x:c r="A10" s="14" t="str">
        <x:v>E2E-09</x:v>
      </x:c>
      <x:c r="B10" s="14" t="str">
        <x:v>7.1 Final</x:v>
      </x:c>
      <x:c r="C10" s="14" t="str">
        <x:v>OPDS auth HTTPS</x:v>
      </x:c>
      <x:c r="D10" s="14" t="str">
        <x:v>Запустити LAN OPDS, login, search, download</x:v>
      </x:c>
      <x:c r="E10" s="14" t="str">
        <x:v>HTTPS; auth works; bad password rejected</x:v>
      </x:c>
      <x:c r="F10" s="14" t="str">
        <x:v>P0</x:v>
      </x:c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>
      <x:c r="A11" s="14" t="str">
        <x:v>E2E-10</x:v>
      </x:c>
      <x:c r="B11" s="14" t="str">
        <x:v>7.1 Final</x:v>
      </x:c>
      <x:c r="C11" s="14" t="str">
        <x:v>Windows portable</x:v>
      </x:c>
      <x:c r="D11" s="14" t="str">
        <x:v>Run portable as ordinary user from Unicode path</x:v>
      </x:c>
      <x:c r="E11" s="14" t="str">
        <x:v>No admin requirement; data stays portable</x:v>
      </x:c>
      <x:c r="F11" s="14" t="str">
        <x:v>P0</x:v>
      </x:c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>
      <x:c r="A12" s="14" t="str">
        <x:v>E2E-11</x:v>
      </x:c>
      <x:c r="B12" s="14" t="str">
        <x:v>7.1 Final</x:v>
      </x:c>
      <x:c r="C12" s="14" t="str">
        <x:v>DPI 100%</x:v>
      </x:c>
      <x:c r="D12" s="14" t="str">
        <x:v>Critical screens</x:v>
      </x:c>
      <x:c r="E12" s="14" t="str">
        <x:v>No clipping/overlap</x:v>
      </x:c>
      <x:c r="F12" s="14" t="str">
        <x:v>P0</x:v>
      </x:c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>
      <x:c r="A13" s="14" t="str">
        <x:v>E2E-12</x:v>
      </x:c>
      <x:c r="B13" s="14" t="str">
        <x:v>7.1 Final</x:v>
      </x:c>
      <x:c r="C13" s="14" t="str">
        <x:v>DPI 125%</x:v>
      </x:c>
      <x:c r="D13" s="14" t="str">
        <x:v>Critical screens</x:v>
      </x:c>
      <x:c r="E13" s="14" t="str">
        <x:v>No clipping/overlap</x:v>
      </x:c>
      <x:c r="F13" s="14" t="str">
        <x:v>P0</x:v>
      </x:c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>
      <x:c r="A14" s="14" t="str">
        <x:v>E2E-13</x:v>
      </x:c>
      <x:c r="B14" s="14" t="str">
        <x:v>7.1 Final</x:v>
      </x:c>
      <x:c r="C14" s="14" t="str">
        <x:v>DPI 150%</x:v>
      </x:c>
      <x:c r="D14" s="14" t="str">
        <x:v>Critical screens</x:v>
      </x:c>
      <x:c r="E14" s="14" t="str">
        <x:v>No clipping/overlap</x:v>
      </x:c>
      <x:c r="F14" s="14" t="str">
        <x:v>P0</x:v>
      </x:c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>
      <x:c r="A15" s="14" t="str">
        <x:v>E2E-14</x:v>
      </x:c>
      <x:c r="B15" s="14" t="str">
        <x:v>7.1 Final</x:v>
      </x:c>
      <x:c r="C15" s="14" t="str">
        <x:v>DPI 200%</x:v>
      </x:c>
      <x:c r="D15" s="14" t="str">
        <x:v>Critical screens</x:v>
      </x:c>
      <x:c r="E15" s="14" t="str">
        <x:v>No clipping/overlap</x:v>
      </x:c>
      <x:c r="F15" s="14" t="str">
        <x:v>P0</x:v>
      </x:c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>
      <x:c r="A16" s="14" t="str">
        <x:v>E2E-15</x:v>
      </x:c>
      <x:c r="B16" s="14" t="str">
        <x:v>7.2</x:v>
      </x:c>
      <x:c r="C16" s="14" t="str">
        <x:v>Merge duplicates</x:v>
      </x:c>
      <x:c r="D16" s="14" t="str">
        <x:v>Merge two records into one multi-artifact book</x:v>
      </x:c>
      <x:c r="E16" s="14" t="str">
        <x:v>User data and all artifacts preserved; undo works</x:v>
      </x:c>
      <x:c r="F16" s="14" t="str">
        <x:v>P1</x:v>
      </x:c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>
      <x:c r="A17" s="14" t="str">
        <x:v>E2E-16</x:v>
      </x:c>
      <x:c r="B17" s="14" t="str">
        <x:v>7.3</x:v>
      </x:c>
      <x:c r="C17" s="14" t="str">
        <x:v>Highlight persistence</x:v>
      </x:c>
      <x:c r="D17" s="14" t="str">
        <x:v>Create highlight/note; restart</x:v>
      </x:c>
      <x:c r="E17" s="14" t="str">
        <x:v>Annotation restored at correct location</x:v>
      </x:c>
      <x:c r="F17" s="14" t="str">
        <x:v>P1</x:v>
      </x:c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>
      <x:c r="A18" s="14" t="str">
        <x:v>E2E-17</x:v>
      </x:c>
      <x:c r="B18" s="14" t="str">
        <x:v>7.3</x:v>
      </x:c>
      <x:c r="C18" s="14" t="str">
        <x:v>PDF reader</x:v>
      </x:c>
      <x:c r="D18" s="14" t="str">
        <x:v>Open large PDF, search, bookmark, restart</x:v>
      </x:c>
      <x:c r="E18" s="14" t="str">
        <x:v>Responsive; position restored</x:v>
      </x:c>
      <x:c r="F18" s="14" t="str">
        <x:v>P1</x:v>
      </x:c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>
      <x:c r="A19" s="14" t="str">
        <x:v>E2E-18</x:v>
      </x:c>
      <x:c r="B19" s="14" t="str">
        <x:v>7.4</x:v>
      </x:c>
      <x:c r="C19" s="14" t="str">
        <x:v>Global content search</x:v>
      </x:c>
      <x:c r="D19" s="14" t="str">
        <x:v>Index corpus; search exact phrase</x:v>
      </x:c>
      <x:c r="E19" s="14" t="str">
        <x:v>Correct book/chapter/snippet; jump works</x:v>
      </x:c>
      <x:c r="F19" s="14" t="str">
        <x:v>P1</x:v>
      </x:c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>
      <x:c r="A20" s="14" t="str">
        <x:v>E2E-19</x:v>
      </x:c>
      <x:c r="B20" s="14" t="str">
        <x:v>7.5</x:v>
      </x:c>
      <x:c r="C20" s="14" t="str">
        <x:v>Two-device sync</x:v>
      </x:c>
      <x:c r="D20" s="14" t="str">
        <x:v>PC A changes progress/notes; PC B pulls</x:v>
      </x:c>
      <x:c r="E20" s="14" t="str">
        <x:v>Converged state; no silent data loss</x:v>
      </x:c>
      <x:c r="F20" s="14" t="str">
        <x:v>P1</x:v>
      </x:c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>
      <x:c r="A21" s="14" t="str">
        <x:v>E2E-20</x:v>
      </x:c>
      <x:c r="B21" s="14" t="str">
        <x:v>7.5</x:v>
      </x:c>
      <x:c r="C21" s="14" t="str">
        <x:v>Sync conflict</x:v>
      </x:c>
      <x:c r="D21" s="14" t="str">
        <x:v>Conflicting progress + notes</x:v>
      </x:c>
      <x:c r="E21" s="14" t="str">
        <x:v>Policy applied; manual conflict visible where needed</x:v>
      </x:c>
      <x:c r="F21" s="14" t="str">
        <x:v>P1</x:v>
      </x:c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</x:sheetData>
  <x:conditionalFormatting sqref="F2:F21">
    <x:cfRule type="expression" dxfId="6" priority="1">
      <x:formula>F2="P0"</x:formula>
    </x:cfRule>
    <x:cfRule type="expression" dxfId="7" priority="2">
      <x:formula>F2="P1"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d631f265684c2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48" hidden="0" customWidth="1"/>
    <x:col min="8" max="8" width="22" hidden="0" customWidth="1"/>
  </x:cols>
  <x:sheetData>
    <x:row r="1">
      <x:c r="A1" s="6" t="str">
        <x:v>ID</x:v>
      </x:c>
      <x:c r="B1" s="6" t="str">
        <x:v>Ризик</x:v>
      </x:c>
      <x:c r="C1" s="6" t="str">
        <x:v>Тип</x:v>
      </x:c>
      <x:c r="D1" s="6" t="str">
        <x:v>Ймовірність</x:v>
      </x:c>
      <x:c r="E1" s="6" t="str">
        <x:v>Вплив</x:v>
      </x:c>
      <x:c r="F1" s="6" t="str">
        <x:v>Рівень</x:v>
      </x:c>
      <x:c r="G1" s="6" t="str">
        <x:v>Мітигація</x:v>
      </x:c>
      <x:c r="H1" s="6" t="str">
        <x:v>Пов’язані задачі</x:v>
      </x:c>
    </x:row>
    <x:row r="2">
      <x:c r="A2" s="14" t="str">
        <x:v>R-01</x:v>
      </x:c>
      <x:c r="B2" s="14" t="str">
        <x:v>OPDS credentials interception</x:v>
      </x:c>
      <x:c r="C2" s="14" t="str">
        <x:v>Security</x:v>
      </x:c>
      <x:c r="D2" s="14" t="str">
        <x:v>High</x:v>
      </x:c>
      <x:c r="E2" s="14" t="str">
        <x:v>High</x:v>
      </x:c>
      <x:c r="F2" s="14" t="str">
        <x:v>Critical</x:v>
      </x:c>
      <x:c r="G2" s="14" t="str">
        <x:v>TLS mandatory for LAN, password hashing, token auth</x:v>
      </x:c>
      <x:c r="H2" s="14" t="str">
        <x:v>MHL-001,MHL-002,MHL-407</x:v>
      </x:c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</x:row>
    <x:row r="3">
      <x:c r="A3" s="14" t="str">
        <x:v>R-02</x:v>
      </x:c>
      <x:c r="B3" s="14" t="str">
        <x:v>Partial settings corruption</x:v>
      </x:c>
      <x:c r="C3" s="14" t="str">
        <x:v>Reliability</x:v>
      </x:c>
      <x:c r="D3" s="14" t="str">
        <x:v>Medium</x:v>
      </x:c>
      <x:c r="E3" s="14" t="str">
        <x:v>High</x:v>
      </x:c>
      <x:c r="F3" s="14" t="str">
        <x:v>High</x:v>
      </x:c>
      <x:c r="G3" s="14" t="str">
        <x:v>Atomic settings replace + fault injection tests</x:v>
      </x:c>
      <x:c r="H3" s="14" t="str">
        <x:v>MHL-004</x:v>
      </x:c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>
      <x:c r="A4" s="14" t="str">
        <x:v>R-03</x:v>
      </x:c>
      <x:c r="B4" s="14" t="str">
        <x:v>Format behavior differs by layer</x:v>
      </x:c>
      <x:c r="C4" s="14" t="str">
        <x:v>Functional</x:v>
      </x:c>
      <x:c r="D4" s="14" t="str">
        <x:v>High</x:v>
      </x:c>
      <x:c r="E4" s="14" t="str">
        <x:v>High</x:v>
      </x:c>
      <x:c r="F4" s="14" t="str">
        <x:v>Critical</x:v>
      </x:c>
      <x:c r="G4" s="14" t="str">
        <x:v>Single FormatRegistry + consistency tests</x:v>
      </x:c>
      <x:c r="H4" s="14" t="str">
        <x:v>MHL-005..007</x:v>
      </x:c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>
      <x:c r="A5" s="14" t="str">
        <x:v>R-04</x:v>
      </x:c>
      <x:c r="B5" s="14" t="str">
        <x:v>Windows DPI regressions</x:v>
      </x:c>
      <x:c r="C5" s="14" t="str">
        <x:v>UX/Release</x:v>
      </x:c>
      <x:c r="D5" s="14" t="str">
        <x:v>Medium</x:v>
      </x:c>
      <x:c r="E5" s="14" t="str">
        <x:v>High</x:v>
      </x:c>
      <x:c r="F5" s="14" t="str">
        <x:v>High</x:v>
      </x:c>
      <x:c r="G5" s="14" t="str">
        <x:v>Real 100/125/150/200 acceptance</x:v>
      </x:c>
      <x:c r="H5" s="14" t="str">
        <x:v>MHL-011</x:v>
      </x:c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>
      <x:c r="A6" s="14" t="str">
        <x:v>R-05</x:v>
      </x:c>
      <x:c r="B6" s="14" t="str">
        <x:v>No real E2E safety net</x:v>
      </x:c>
      <x:c r="C6" s="14" t="str">
        <x:v>QA</x:v>
      </x:c>
      <x:c r="D6" s="14" t="str">
        <x:v>High</x:v>
      </x:c>
      <x:c r="E6" s="14" t="str">
        <x:v>High</x:v>
      </x:c>
      <x:c r="F6" s="14" t="str">
        <x:v>Critical</x:v>
      </x:c>
      <x:c r="G6" s="14" t="str">
        <x:v>Populate E2E module + PR CI</x:v>
      </x:c>
      <x:c r="H6" s="14" t="str">
        <x:v>MHL-009,MHL-010</x:v>
      </x:c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>
      <x:c r="A7" s="14" t="str">
        <x:v>R-06</x:v>
      </x:c>
      <x:c r="B7" s="14" t="str">
        <x:v>Multi-artifact migration data loss</x:v>
      </x:c>
      <x:c r="C7" s="14" t="str">
        <x:v>Data integrity</x:v>
      </x:c>
      <x:c r="D7" s="14" t="str">
        <x:v>Medium</x:v>
      </x:c>
      <x:c r="E7" s="14" t="str">
        <x:v>Critical</x:v>
      </x:c>
      <x:c r="F7" s="14" t="str">
        <x:v>Critical</x:v>
      </x:c>
      <x:c r="G7" s="14" t="str">
        <x:v>Backward-safe migration, backup before migration, corpus test</x:v>
      </x:c>
      <x:c r="H7" s="14" t="str">
        <x:v>MHL-101..103</x:v>
      </x:c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>
      <x:c r="A8" s="14" t="str">
        <x:v>R-07</x:v>
      </x:c>
      <x:c r="B8" s="14" t="str">
        <x:v>Duplicate false positives</x:v>
      </x:c>
      <x:c r="C8" s="14" t="str">
        <x:v>Data integrity</x:v>
      </x:c>
      <x:c r="D8" s="14" t="str">
        <x:v>Medium</x:v>
      </x:c>
      <x:c r="E8" s="14" t="str">
        <x:v>High</x:v>
      </x:c>
      <x:c r="F8" s="14" t="str">
        <x:v>High</x:v>
      </x:c>
      <x:c r="G8" s="14" t="str">
        <x:v>Never auto-merge fuzzy duplicates; score/reason + review UI</x:v>
      </x:c>
      <x:c r="H8" s="14" t="str">
        <x:v>MHL-105,MHL-106</x:v>
      </x:c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>
      <x:c r="A9" s="14" t="str">
        <x:v>R-08</x:v>
      </x:c>
      <x:c r="B9" s="14" t="str">
        <x:v>Full-text indexing degrades desktop</x:v>
      </x:c>
      <x:c r="C9" s="14" t="str">
        <x:v>Performance</x:v>
      </x:c>
      <x:c r="D9" s="14" t="str">
        <x:v>High</x:v>
      </x:c>
      <x:c r="E9" s="14" t="str">
        <x:v>High</x:v>
      </x:c>
      <x:c r="F9" s="14" t="str">
        <x:v>Critical</x:v>
      </x:c>
      <x:c r="G9" s="14" t="str">
        <x:v>Separate index + queue/checkpoints/resource throttling</x:v>
      </x:c>
      <x:c r="H9" s="14" t="str">
        <x:v>MHL-302,MHL-303,MHL-307</x:v>
      </x:c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>
      <x:c r="A10" s="14" t="str">
        <x:v>R-09</x:v>
      </x:c>
      <x:c r="B10" s="14" t="str">
        <x:v>Sync silently overwrites user data</x:v>
      </x:c>
      <x:c r="C10" s="14" t="str">
        <x:v>Data integrity</x:v>
      </x:c>
      <x:c r="D10" s="14" t="str">
        <x:v>Medium</x:v>
      </x:c>
      <x:c r="E10" s="14" t="str">
        <x:v>Critical</x:v>
      </x:c>
      <x:c r="F10" s="14" t="str">
        <x:v>Critical</x:v>
      </x:c>
      <x:c r="G10" s="14" t="str">
        <x:v>Versioned changes, merge policies, conflict UI</x:v>
      </x:c>
      <x:c r="H10" s="14" t="str">
        <x:v>MHL-401,MHL-404</x:v>
      </x:c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>
      <x:c r="A11" s="14" t="str">
        <x:v>R-10</x:v>
      </x:c>
      <x:c r="B11" s="14" t="str">
        <x:v>Third-party plugin compromises app</x:v>
      </x:c>
      <x:c r="C11" s="14" t="str">
        <x:v>Security</x:v>
      </x:c>
      <x:c r="D11" s="14" t="str">
        <x:v>Medium</x:v>
      </x:c>
      <x:c r="E11" s="14" t="str">
        <x:v>Critical</x:v>
      </x:c>
      <x:c r="F11" s="14" t="str">
        <x:v>Critical</x:v>
      </x:c>
      <x:c r="G11" s="14" t="str">
        <x:v>Permissions/isolation/signing policy</x:v>
      </x:c>
      <x:c r="H11" s="14" t="str">
        <x:v>MHL-501,MHL-502</x:v>
      </x:c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</x:sheetData>
  <x:conditionalFormatting sqref="F2:F11">
    <x:cfRule type="expression" dxfId="8" priority="1">
      <x:formula>F2="Critical"</x:formula>
    </x:cfRule>
    <x:cfRule type="expression" dxfId="9" priority="2">
      <x:formula>F2="High"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592896e6fc459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14" hidden="0" customWidth="1"/>
    <x:col min="8" max="8" width="35" hidden="0" customWidth="1"/>
    <x:col min="9" max="9" width="48" hidden="0" customWidth="1"/>
  </x:cols>
  <x:sheetData>
    <x:row r="1">
      <x:c r="A1" s="6" t="str">
        <x:v>Функція</x:v>
      </x:c>
      <x:c r="B1" s="6" t="str">
        <x:v>MyHomeLib зараз</x:v>
      </x:c>
      <x:c r="C1" s="6" t="str">
        <x:v>calibre</x:v>
      </x:c>
      <x:c r="D1" s="6" t="str">
        <x:v>Koodo</x:v>
      </x:c>
      <x:c r="E1" s="6" t="str">
        <x:v>Thorium</x:v>
      </x:c>
      <x:c r="F1" s="6" t="str">
        <x:v>Kavita / BookFusion</x:v>
      </x:c>
      <x:c r="G1" s="6" t="str">
        <x:v>Пріоритет</x:v>
      </x:c>
      <x:c r="H1" s="6" t="str">
        <x:v>Рекомендація</x:v>
      </x:c>
      <x:c r="I1" s="6" t="str">
        <x:v>Офіційне джерело</x:v>
      </x:c>
    </x:row>
    <x:row r="2">
      <x:c r="A2" s="14" t="str">
        <x:v>Multi-format one logical book</x:v>
      </x:c>
      <x:c r="B2" s="14" t="str">
        <x:v>Partial / foundation exists</x:v>
      </x:c>
      <x:c r="C2" s="14" t="str">
        <x:v>Strong</x:v>
      </x:c>
      <x:c r="D2" s="14" t="str">
        <x:v>Partial</x:v>
      </x:c>
      <x:c r="E2" s="14" t="str">
        <x:v>N/A</x:v>
      </x:c>
      <x:c r="F2" s="14" t="str">
        <x:v>Partial</x:v>
      </x:c>
      <x:c r="G2" s="14" t="str">
        <x:v>P1</x:v>
      </x:c>
      <x:c r="H2" s="14" t="str">
        <x:v>Make book_artifacts user-facing</x:v>
      </x:c>
      <x:c r="I2" s="14" t="str">
        <x:v>https://manual.calibre-ebook.com/</x:v>
      </x:c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</x:row>
    <x:row r="3">
      <x:c r="A3" s="14" t="str">
        <x:v>Full-text across all books</x:v>
      </x:c>
      <x:c r="B3" s="14" t="str">
        <x:v>Metadata-centric today</x:v>
      </x:c>
      <x:c r="C3" s="14" t="str">
        <x:v>Strong</x:v>
      </x:c>
      <x:c r="D3" s="14" t="str">
        <x:v>Limited</x:v>
      </x:c>
      <x:c r="E3" s="14" t="str">
        <x:v>Within book</x:v>
      </x:c>
      <x:c r="F3" s="14" t="str">
        <x:v>Server-dependent</x:v>
      </x:c>
      <x:c r="G3" s="14" t="str">
        <x:v>P1</x:v>
      </x:c>
      <x:c r="H3" s="14" t="str">
        <x:v>Separate content index</x:v>
      </x:c>
      <x:c r="I3" s="14" t="str">
        <x:v>https://manual.calibre-ebook.com/</x:v>
      </x:c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>
      <x:c r="A4" s="14" t="str">
        <x:v>Highlights &amp; notes</x:v>
      </x:c>
      <x:c r="B4" s="14" t="str">
        <x:v>Insufficient</x:v>
      </x:c>
      <x:c r="C4" s="14" t="str">
        <x:v>Strong</x:v>
      </x:c>
      <x:c r="D4" s="14" t="str">
        <x:v>Strong</x:v>
      </x:c>
      <x:c r="E4" s="14" t="str">
        <x:v>Strong</x:v>
      </x:c>
      <x:c r="F4" s="14" t="str">
        <x:v>Strong</x:v>
      </x:c>
      <x:c r="G4" s="14" t="str">
        <x:v>P1</x:v>
      </x:c>
      <x:c r="H4" s="14" t="str">
        <x:v>Power Reader 7.3</x:v>
      </x:c>
      <x:c r="I4" s="14" t="str">
        <x:v>https://www.koodoreader.com/en/</x:v>
      </x:c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>
      <x:c r="A5" s="14" t="str">
        <x:v>PDF reader</x:v>
      </x:c>
      <x:c r="B5" s="14" t="str">
        <x:v>Limited</x:v>
      </x:c>
      <x:c r="C5" s="14" t="str">
        <x:v>Yes</x:v>
      </x:c>
      <x:c r="D5" s="14" t="str">
        <x:v>Yes</x:v>
      </x:c>
      <x:c r="E5" s="14" t="str">
        <x:v>Yes</x:v>
      </x:c>
      <x:c r="F5" s="14" t="str">
        <x:v>Yes</x:v>
      </x:c>
      <x:c r="G5" s="14" t="str">
        <x:v>P1</x:v>
      </x:c>
      <x:c r="H5" s="14" t="str">
        <x:v>Native PDF reader</x:v>
      </x:c>
      <x:c r="I5" s="14" t="str">
        <x:v>https://thorium.edrlab.org/en/</x:v>
      </x:c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>
      <x:c r="A6" s="14" t="str">
        <x:v>TTS</x:v>
      </x:c>
      <x:c r="B6" s="14" t="str">
        <x:v>No</x:v>
      </x:c>
      <x:c r="C6" s="14" t="str">
        <x:v>Yes</x:v>
      </x:c>
      <x:c r="D6" s="14" t="str">
        <x:v>Yes</x:v>
      </x:c>
      <x:c r="E6" s="14" t="str">
        <x:v>Yes</x:v>
      </x:c>
      <x:c r="F6" s="14" t="str">
        <x:v>Varies</x:v>
      </x:c>
      <x:c r="G6" s="14" t="str">
        <x:v>P2</x:v>
      </x:c>
      <x:c r="H6" s="14" t="str">
        <x:v>System TTS first</x:v>
      </x:c>
      <x:c r="I6" s="14" t="str">
        <x:v>https://www.koodoreader.com/en/</x:v>
      </x:c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>
      <x:c r="A7" s="14" t="str">
        <x:v>Sync</x:v>
      </x:c>
      <x:c r="B7" s="14" t="str">
        <x:v>No</x:v>
      </x:c>
      <x:c r="C7" s="14" t="str">
        <x:v>Content server ecosystem</x:v>
      </x:c>
      <x:c r="D7" s="14" t="str">
        <x:v>Strong</x:v>
      </x:c>
      <x:c r="E7" s="14" t="str">
        <x:v>No</x:v>
      </x:c>
      <x:c r="F7" s="14" t="str">
        <x:v>Strong</x:v>
      </x:c>
      <x:c r="G7" s="14" t="str">
        <x:v>P1</x:v>
      </x:c>
      <x:c r="H7" s="14" t="str">
        <x:v>WebDAV/local first</x:v>
      </x:c>
      <x:c r="I7" s="14" t="str">
        <x:v>https://www.bookfusion.com/</x:v>
      </x:c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>
      <x:c r="A8" s="14" t="str">
        <x:v>Smart filters</x:v>
      </x:c>
      <x:c r="B8" s="14" t="str">
        <x:v>Saved searches foundation</x:v>
      </x:c>
      <x:c r="C8" s="14" t="str">
        <x:v>Strong</x:v>
      </x:c>
      <x:c r="D8" s="14" t="str">
        <x:v>Some</x:v>
      </x:c>
      <x:c r="E8" s="14" t="str">
        <x:v>Basic</x:v>
      </x:c>
      <x:c r="F8" s="14" t="str">
        <x:v>Strong (Kavita)</x:v>
      </x:c>
      <x:c r="G8" s="14" t="str">
        <x:v>P2</x:v>
      </x:c>
      <x:c r="H8" s="14" t="str">
        <x:v>Smart Collections</x:v>
      </x:c>
      <x:c r="I8" s="14" t="str">
        <x:v>https://wiki.kavitareader.com/guides/features/filtering/</x:v>
      </x:c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>
      <x:c r="A9" s="14" t="str">
        <x:v>OPDS</x:v>
      </x:c>
      <x:c r="B9" s="14" t="str">
        <x:v>Yes</x:v>
      </x:c>
      <x:c r="C9" s="14" t="str">
        <x:v>Yes</x:v>
      </x:c>
      <x:c r="D9" s="14" t="str">
        <x:v>Client/support</x:v>
      </x:c>
      <x:c r="E9" s="14" t="str">
        <x:v>Client</x:v>
      </x:c>
      <x:c r="F9" s="14" t="str">
        <x:v>Strong</x:v>
      </x:c>
      <x:c r="G9" s="14" t="str">
        <x:v>P0/P2</x:v>
      </x:c>
      <x:c r="H9" s="14" t="str">
        <x:v>Secure v1 now, OPDS2 later</x:v>
      </x:c>
      <x:c r="I9" s="14" t="str">
        <x:v>https://wiki.kavitareader.com/guides/features/opds/</x:v>
      </x:c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>
      <x:c r="A10" s="14" t="str">
        <x:v>Plugin ecosystem</x:v>
      </x:c>
      <x:c r="B10" s="14" t="str">
        <x:v>No</x:v>
      </x:c>
      <x:c r="C10" s="14" t="str">
        <x:v>Very strong</x:v>
      </x:c>
      <x:c r="D10" s="14" t="str">
        <x:v>Limited</x:v>
      </x:c>
      <x:c r="E10" s="14" t="str">
        <x:v>Limited</x:v>
      </x:c>
      <x:c r="F10" s="14" t="str">
        <x:v>API varies</x:v>
      </x:c>
      <x:c r="G10" s="14" t="str">
        <x:v>P2</x:v>
      </x:c>
      <x:c r="H10" s="14" t="str">
        <x:v>Stable SPI after core features</x:v>
      </x:c>
      <x:c r="I10" s="14" t="str">
        <x:v>https://manual.calibre-ebook.com/</x:v>
      </x:c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>
      <x:c r="A11" s="14" t="str">
        <x:v>Accessibility</x:v>
      </x:c>
      <x:c r="B11" s="14" t="str">
        <x:v>Needs audit</x:v>
      </x:c>
      <x:c r="C11" s="14" t="str">
        <x:v>Good</x:v>
      </x:c>
      <x:c r="D11" s="14" t="str">
        <x:v>Medium</x:v>
      </x:c>
      <x:c r="E11" s="14" t="str">
        <x:v>Very strong</x:v>
      </x:c>
      <x:c r="F11" s="14" t="str">
        <x:v>Varies</x:v>
      </x:c>
      <x:c r="G11" s="14" t="str">
        <x:v>P1</x:v>
      </x:c>
      <x:c r="H11" s="14" t="str">
        <x:v>Use Thorium as reference</x:v>
      </x:c>
      <x:c r="I11" s="14" t="str">
        <x:v>https://thorium.edrlab.org/en/</x:v>
      </x:c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>
      <x:c r="A12" s="14" t="str">
        <x:v>Huge local libraries / INPX</x:v>
      </x:c>
      <x:c r="B12" s="14" t="str">
        <x:v>Very strong</x:v>
      </x:c>
      <x:c r="C12" s="14" t="str">
        <x:v>Strong</x:v>
      </x:c>
      <x:c r="D12" s="14" t="str">
        <x:v>Medium</x:v>
      </x:c>
      <x:c r="E12" s="14" t="str">
        <x:v>Weak</x:v>
      </x:c>
      <x:c r="F12" s="14" t="str">
        <x:v>Server-oriented</x:v>
      </x:c>
      <x:c r="G12" s="14" t="str">
        <x:v>Differentiator</x:v>
      </x:c>
      <x:c r="H12" s="14" t="str">
        <x:v>Protect performance niche</x:v>
      </x:c>
      <x:c r="I12" s="14" t="str">
        <x:v>Internal benchmark / project docs</x:v>
      </x:c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</x:sheetData>
  <x:pageMargins left="0.7" right="0.7" top="0.75" bottom="0.75" header="0.3" footer="0.3"/>
  <x:tableParts count="1">
    <x:tablePart xmlns:r="http://schemas.openxmlformats.org/officeDocument/2006/relationships" r:id="R7ec1ca51ff1e4d4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4" hidden="0" customWidth="1"/>
    <x:col min="4" max="4" width="85" hidden="0" customWidth="1"/>
  </x:cols>
  <x:sheetData>
    <x:row r="1">
      <x:c r="A1" s="6" t="str">
        <x:v>Тип</x:v>
      </x:c>
      <x:c r="B1" s="6" t="str">
        <x:v>Джерело</x:v>
      </x:c>
      <x:c r="C1" s="6" t="str">
        <x:v>Що підтверджує</x:v>
      </x:c>
      <x:c r="D1" s="6" t="str">
        <x:v>Шлях / URL</x:v>
      </x:c>
    </x:row>
    <x:row r="2">
      <x:c r="A2" s="14" t="str">
        <x:v>Internal</x:v>
      </x:c>
      <x:c r="B2" s="14" t="str">
        <x:v>Project ZIP</x:v>
      </x:c>
      <x:c r="C2" s="14" t="str">
        <x:v>myhomelib-enterprise-7.1.0-rc3-stage05-p4-windows-dpi-guard-hardening-2026-09-05.zip</x:v>
      </x:c>
      <x:c r="D2" s="14" t="str">
        <x:v>/mnt/data/myhomelib-enterprise-7.1.0-rc3-stage05-p4-windows-dpi-guard-hardening-2026-09-05.zip</x:v>
      </x:c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</x:row>
    <x:row r="3">
      <x:c r="A3" s="14" t="str">
        <x:v>Internal</x:v>
      </x:c>
      <x:c r="B3" s="14" t="str">
        <x:v>Architecture</x:v>
      </x:c>
      <x:c r="C3" s="14" t="str">
        <x:v>Architecture overview and rules</x:v>
      </x:c>
      <x:c r="D3" s="14" t="str">
        <x:v>ARCHITECTURE.md</x:v>
      </x:c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>
      <x:c r="A4" s="14" t="str">
        <x:v>Internal</x:v>
      </x:c>
      <x:c r="B4" s="14" t="str">
        <x:v>Features</x:v>
      </x:c>
      <x:c r="C4" s="14" t="str">
        <x:v>Feature inventory</x:v>
      </x:c>
      <x:c r="D4" s="14" t="str">
        <x:v>MYHOMELIB-FEATURES.md</x:v>
      </x:c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>
      <x:c r="A5" s="14" t="str">
        <x:v>Internal</x:v>
      </x:c>
      <x:c r="B5" s="14" t="str">
        <x:v>Operations</x:v>
      </x:c>
      <x:c r="C5" s="14" t="str">
        <x:v>Operational guidance</x:v>
      </x:c>
      <x:c r="D5" s="14" t="str">
        <x:v>MYHOMELIB-OPERATIONS.md</x:v>
      </x:c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>
      <x:c r="A6" s="14" t="str">
        <x:v>Internal</x:v>
      </x:c>
      <x:c r="B6" s="14" t="str">
        <x:v>Release</x:v>
      </x:c>
      <x:c r="C6" s="14" t="str">
        <x:v>Release process</x:v>
      </x:c>
      <x:c r="D6" s="14" t="str">
        <x:v>MYHOMELIB-RELEASE.md</x:v>
      </x:c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>
      <x:c r="A7" s="14" t="str">
        <x:v>Internal</x:v>
      </x:c>
      <x:c r="B7" s="14" t="str">
        <x:v>Refactoring report</x:v>
      </x:c>
      <x:c r="C7" s="14" t="str">
        <x:v>Refactoring findings</x:v>
      </x:c>
      <x:c r="D7" s="14" t="str">
        <x:v>REFACTORING-REPORT-2026-09-03.md</x:v>
      </x:c>
      <x:c r="E7" s="49"/>
      <x:c r="F7" s="49"/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>
      <x:c r="A8" s="14" t="str">
        <x:v>Internal</x:v>
      </x:c>
      <x:c r="B8" s="14" t="str">
        <x:v>OPDS server</x:v>
      </x:c>
      <x:c r="C8" s="14" t="str">
        <x:v>HTTP server implementation</x:v>
      </x:c>
      <x:c r="D8" s="14" t="str">
        <x:v>myhomelib-opds/src/main/java/com/myhomelibcorp/opds/JdkOpdsServer.java</x:v>
      </x:c>
      <x:c r="E8" s="49"/>
      <x:c r="F8" s="49"/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>
      <x:c r="A9" s="14" t="str">
        <x:v>Internal</x:v>
      </x:c>
      <x:c r="B9" s="14" t="str">
        <x:v>OPDS settings</x:v>
      </x:c>
      <x:c r="C9" s="14" t="str">
        <x:v>OPDS settings handling</x:v>
      </x:c>
      <x:c r="D9" s="14" t="str">
        <x:v>myhomelib-application/src/main/java/com/myhomelibcorp/application/opds/OpdsSettingsService.java</x:v>
      </x:c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>
      <x:c r="A10" s="14" t="str">
        <x:v>Internal</x:v>
      </x:c>
      <x:c r="B10" s="14" t="str">
        <x:v>Generic importer</x:v>
      </x:c>
      <x:c r="C10" s="14" t="str">
        <x:v>Supported generic formats</x:v>
      </x:c>
      <x:c r="D10" s="14" t="str">
        <x:v>myhomelib-infrastructure/src/main/java/com/myhomelibcorp/infrastructure/importer/generic/GenericDocumentImporter.java</x:v>
      </x:c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>
      <x:c r="A11" s="14" t="str">
        <x:v>Internal</x:v>
      </x:c>
      <x:c r="B11" s="14" t="str">
        <x:v>Format detector</x:v>
      </x:c>
      <x:c r="C11" s="14" t="str">
        <x:v>Format detection</x:v>
      </x:c>
      <x:c r="D11" s="14" t="str">
        <x:v>myhomelib-application/src/main/java/com/myhomelibcorp/application/imports/detector/BookFormatDetector.java</x:v>
      </x:c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>
      <x:c r="A12" s="14" t="str">
        <x:v>Internal</x:v>
      </x:c>
      <x:c r="B12" s="14" t="str">
        <x:v>Lucene mapper</x:v>
      </x:c>
      <x:c r="C12" s="14" t="str">
        <x:v>Search document mapping</x:v>
      </x:c>
      <x:c r="D12" s="14" t="str">
        <x:v>myhomelib-infrastructure/src/main/java/com/myhomelibcorp/infrastructure/search/LuceneDocumentMapper.java</x:v>
      </x:c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>
      <x:c r="A13" s="14" t="str">
        <x:v>Internal</x:v>
      </x:c>
      <x:c r="B13" s="14" t="str">
        <x:v>BookFile</x:v>
      </x:c>
      <x:c r="C13" s="14" t="str">
        <x:v>Path value object</x:v>
      </x:c>
      <x:c r="D13" s="14" t="str">
        <x:v>myhomelib-domain/src/main/java/com/myhomelibcorp/domain/model/valueobject/BookFile.java</x:v>
      </x:c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>
      <x:c r="A14" s="14" t="str">
        <x:v>External</x:v>
      </x:c>
      <x:c r="B14" s="14" t="str">
        <x:v>RFC 7617</x:v>
      </x:c>
      <x:c r="C14" s="14" t="str">
        <x:v>HTTP Basic Authentication</x:v>
      </x:c>
      <x:c r="D14" s="14" t="str">
        <x:v>https://www.rfc-editor.org/info/rfc7617</x:v>
      </x:c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>
      <x:c r="A15" s="14" t="str">
        <x:v>External</x:v>
      </x:c>
      <x:c r="B15" s="14" t="str">
        <x:v>OWASP Password Storage</x:v>
      </x:c>
      <x:c r="C15" s="14" t="str">
        <x:v>Password hashing recommendations</x:v>
      </x:c>
      <x:c r="D15" s="14" t="str">
        <x:v>https://cheatsheetseries.owasp.org/cheatsheets/Password_Storage_Cheat_Sheet.html</x:v>
      </x:c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>
      <x:c r="A16" s="14" t="str">
        <x:v>External</x:v>
      </x:c>
      <x:c r="B16" s="14" t="str">
        <x:v>OWASP Cryptographic Storage</x:v>
      </x:c>
      <x:c r="C16" s="14" t="str">
        <x:v>Secret/key storage recommendations</x:v>
      </x:c>
      <x:c r="D16" s="14" t="str">
        <x:v>https://cheatsheetseries.owasp.org/cheatsheets/Cryptographic_Storage_Cheat_Sheet.html</x:v>
      </x:c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>
      <x:c r="A17" s="14" t="str">
        <x:v>External</x:v>
      </x:c>
      <x:c r="B17" s="14" t="str">
        <x:v>calibre manual</x:v>
      </x:c>
      <x:c r="C17" s="14" t="str">
        <x:v>Feature/product reference</x:v>
      </x:c>
      <x:c r="D17" s="14" t="str">
        <x:v>https://manual.calibre-ebook.com/</x:v>
      </x:c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>
      <x:c r="A18" s="14" t="str">
        <x:v>External</x:v>
      </x:c>
      <x:c r="B18" s="14" t="str">
        <x:v>Koodo Reader</x:v>
      </x:c>
      <x:c r="C18" s="14" t="str">
        <x:v>Feature/product reference</x:v>
      </x:c>
      <x:c r="D18" s="14" t="str">
        <x:v>https://www.koodoreader.com/en/</x:v>
      </x:c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>
      <x:c r="A19" s="14" t="str">
        <x:v>External</x:v>
      </x:c>
      <x:c r="B19" s="14" t="str">
        <x:v>Thorium Reader</x:v>
      </x:c>
      <x:c r="C19" s="14" t="str">
        <x:v>Accessibility/reader reference</x:v>
      </x:c>
      <x:c r="D19" s="14" t="str">
        <x:v>https://thorium.edrlab.org/en/</x:v>
      </x:c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>
      <x:c r="A20" s="14" t="str">
        <x:v>External</x:v>
      </x:c>
      <x:c r="B20" s="14" t="str">
        <x:v>Kavita filters</x:v>
      </x:c>
      <x:c r="C20" s="14" t="str">
        <x:v>Smart filter reference</x:v>
      </x:c>
      <x:c r="D20" s="14" t="str">
        <x:v>https://wiki.kavitareader.com/guides/features/filtering/</x:v>
      </x:c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>
      <x:c r="A21" s="14" t="str">
        <x:v>External</x:v>
      </x:c>
      <x:c r="B21" s="14" t="str">
        <x:v>Kavita OPDS</x:v>
      </x:c>
      <x:c r="C21" s="14" t="str">
        <x:v>OPDS reference</x:v>
      </x:c>
      <x:c r="D21" s="14" t="str">
        <x:v>https://wiki.kavitareader.com/guides/features/opds/</x:v>
      </x:c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>
      <x:c r="A22" s="14" t="str">
        <x:v>External</x:v>
      </x:c>
      <x:c r="B22" s="14" t="str">
        <x:v>BookFusion</x:v>
      </x:c>
      <x:c r="C22" s="14" t="str">
        <x:v>Sync reference</x:v>
      </x:c>
      <x:c r="D22" s="14" t="str">
        <x:v>https://www.bookfusion.com/</x:v>
      </x:c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>
      <x:c r="A23" s="12" t="str">
        <x:v>External</x:v>
      </x:c>
      <x:c r="B23" s="12" t="str">
        <x:v>GitHub REST — Actions artifacts</x:v>
      </x:c>
      <x:c r="C23" s="12" t="str">
        <x:v>Actions artifact API exposes SHA-256 digest and download endpoint</x:v>
      </x:c>
      <x:c r="D23" s="12" t="str">
        <x:v>https://docs.github.com/en/rest/actions/artifacts</x:v>
      </x:c>
    </x:row>
    <x:row r="24">
      <x:c r="A24" s="12" t="str">
        <x:v>External</x:v>
      </x:c>
      <x:c r="B24" s="12" t="str">
        <x:v>GitHub REST — Code scanning</x:v>
      </x:c>
      <x:c r="C24" s="12" t="str">
        <x:v>Code scanning analyses expose ref, commit_sha, rules_count and analysis status</x:v>
      </x:c>
      <x:c r="D24" s="12" t="str">
        <x:v>https://docs.github.com/en/rest/code-scanning/code-scanning</x:v>
      </x:c>
    </x:row>
    <x:row r="25">
      <x:c r="A25" s="12" t="str">
        <x:v>Internal</x:v>
      </x:c>
      <x:c r="B25" s="12" t="str">
        <x:v>Iteration 20</x:v>
      </x:c>
      <x:c r="C25" s="12" t="str">
        <x:v>Final operator flow hardening: digest-verified GitHub ingest, exact EXE binding, real desktop release evidence</x:v>
      </x:c>
      <x:c r="D25" s="12" t="str">
        <x:v>ITERATION-20-FINAL-OPERATOR-FLOW-HARDENING-WIP.md</x:v>
      </x:c>
    </x:row>
    <x:row r="26">
      <x:c r="A26" s="12" t="str">
        <x:v>Internal</x:v>
      </x:c>
      <x:c r="B26" s="12" t="str">
        <x:v>Continuation Iteration 20</x:v>
      </x:c>
      <x:c r="C26" s="12" t="str">
        <x:v>Authoritative final live GitHub + Windows acceptance sequence</x:v>
      </x:c>
      <x:c r="D26" s="12" t="str">
        <x:v>CONTINUATION-ITERATION-20-FINAL-LIVE-ACCEPTANCE.md</x:v>
      </x:c>
    </x:row>
    <x:row r="27">
      <x:c r="A27" s="12" t="str">
        <x:v>Internal</x:v>
      </x:c>
      <x:c r="B27" s="12" t="str">
        <x:v>Iteration 21</x:v>
      </x:c>
      <x:c r="C27" s="12" t="str">
        <x:v>Candidate-bound acceptance harness manifest, exact local harness verification and bound EXE launch</x:v>
      </x:c>
      <x:c r="D27" s="12" t="str">
        <x:v>ITERATION-21-CANDIDATE-BOUND-ACCEPTANCE-HARNESS-WIP.md</x:v>
      </x:c>
    </x:row>
    <x:row r="28">
      <x:c r="A28" s="12" t="str">
        <x:v>Internal</x:v>
      </x:c>
      <x:c r="B28" s="12" t="str">
        <x:v>Continuation Iteration 21</x:v>
      </x:c>
      <x:c r="C28" s="12" t="str">
        <x:v>Final live GitHub + Windows acceptance sequence with candidate-bound harness requirement</x:v>
      </x:c>
      <x:c r="D28" s="12" t="str">
        <x:v>CONTINUATION-ITERATION-21-FINAL-LIVE-ACCEPTANCE.md</x:v>
      </x:c>
    </x:row>
    <x:row r="29">
      <x:c r="A29" s="12" t="str">
        <x:v>Internal</x:v>
      </x:c>
      <x:c r="B29" s="12" t="str">
        <x:v>Iteration 22</x:v>
      </x:c>
      <x:c r="C29" s="12" t="str">
        <x:v>Candidate-bound Windows host/user/session evidence and mixed-evidence fail-closed validation</x:v>
      </x:c>
      <x:c r="D29" s="12" t="str">
        <x:v>ITERATION-22-WINDOWS-HOST-SESSION-BINDING-WIP.md</x:v>
      </x:c>
    </x:row>
    <x:row r="30">
      <x:c r="A30" s="12" t="str">
        <x:v>Internal</x:v>
      </x:c>
      <x:c r="B30" s="12" t="str">
        <x:v>Continuation Iteration 22</x:v>
      </x:c>
      <x:c r="C30" s="12" t="str">
        <x:v>Final live GitHub + Windows acceptance sequence with one Windows host/user/session</x:v>
      </x:c>
      <x:c r="D30" s="12" t="str">
        <x:v>CONTINUATION-ITERATION-22-FINAL-LIVE-ACCEPTANCE.md</x:v>
      </x:c>
    </x:row>
  </x:sheetData>
  <x:pageMargins left="0.7" right="0.7" top="0.75" bottom="0.75" header="0.3" footer="0.3"/>
  <x:tableParts count="1">
    <x:tablePart xmlns:r="http://schemas.openxmlformats.org/officeDocument/2006/relationships" r:id="Rcb980e5483b04845"/>
  </x:tableParts>
</x:worksheet>
</file>